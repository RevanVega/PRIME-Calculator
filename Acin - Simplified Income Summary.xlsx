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IZZS7PadlQsMm/v1Wce+R27f+07JNpT5FcYEdi0zoyw="/>
    </ext>
  </extLst>
</workbook>
</file>

<file path=xl/sharedStrings.xml><?xml version="1.0" encoding="utf-8"?>
<sst xmlns="http://schemas.openxmlformats.org/spreadsheetml/2006/main" count="25" uniqueCount="16">
  <si>
    <t>Current Path</t>
  </si>
  <si>
    <t xml:space="preserve">Age </t>
  </si>
  <si>
    <t xml:space="preserve">Income + Social Security </t>
  </si>
  <si>
    <t>FRS + Seaboard Pensions</t>
  </si>
  <si>
    <t>Cash Reserves</t>
  </si>
  <si>
    <t>Roth Accounts</t>
  </si>
  <si>
    <t>All Qualified Accounts</t>
  </si>
  <si>
    <t>Annual Total</t>
  </si>
  <si>
    <t>Monthly Total</t>
  </si>
  <si>
    <t>Amount Guaranteed</t>
  </si>
  <si>
    <t>FV: $515,000</t>
  </si>
  <si>
    <t>FV: 866,000</t>
  </si>
  <si>
    <t>Guaranteed Income Path</t>
  </si>
  <si>
    <t>Guaranteed Income Strategy</t>
  </si>
  <si>
    <t>FV: $506,000</t>
  </si>
  <si>
    <t>FV: 515,000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</si>
</sst>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/>
    <font>
      <i/>
      <sz val="11.0"/>
      <color theme="1"/>
      <name val="Calibri"/>
    </font>
    <font>
      <sz val="8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0" fontId="3" numFmtId="164" xfId="0" applyAlignment="1" applyBorder="1" applyFont="1" applyNumberFormat="1">
      <alignment horizontal="center" vertical="center"/>
    </xf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4" fontId="3" numFmtId="164" xfId="0" applyAlignment="1" applyBorder="1" applyFill="1" applyFont="1" applyNumberFormat="1">
      <alignment horizontal="center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1" fillId="5" fontId="3" numFmtId="164" xfId="0" applyAlignment="1" applyBorder="1" applyFill="1" applyFont="1" applyNumberFormat="1">
      <alignment horizontal="center" shrinkToFit="0" vertical="center" wrapText="1"/>
    </xf>
    <xf borderId="3" fillId="6" fontId="3" numFmtId="164" xfId="0" applyAlignment="1" applyBorder="1" applyFill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horizontal="center" shrinkToFit="0" wrapText="1"/>
    </xf>
    <xf borderId="5" fillId="0" fontId="3" numFmtId="164" xfId="0" applyAlignment="1" applyBorder="1" applyFont="1" applyNumberFormat="1">
      <alignment horizontal="center"/>
    </xf>
    <xf borderId="4" fillId="0" fontId="3" numFmtId="10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/>
    </xf>
    <xf borderId="6" fillId="0" fontId="3" numFmtId="164" xfId="0" applyAlignment="1" applyBorder="1" applyFont="1" applyNumberFormat="1">
      <alignment horizontal="center"/>
    </xf>
    <xf borderId="7" fillId="0" fontId="3" numFmtId="164" xfId="0" applyAlignment="1" applyBorder="1" applyFont="1" applyNumberFormat="1">
      <alignment horizontal="center"/>
    </xf>
    <xf borderId="8" fillId="0" fontId="3" numFmtId="164" xfId="0" applyAlignment="1" applyBorder="1" applyFont="1" applyNumberFormat="1">
      <alignment horizontal="center"/>
    </xf>
    <xf borderId="8" fillId="0" fontId="3" numFmtId="165" xfId="0" applyAlignment="1" applyBorder="1" applyFont="1" applyNumberFormat="1">
      <alignment horizontal="center" shrinkToFit="0" wrapText="1"/>
    </xf>
    <xf borderId="0" fillId="0" fontId="3" numFmtId="165" xfId="0" applyAlignment="1" applyFont="1" applyNumberFormat="1">
      <alignment horizontal="center" shrinkToFit="0" wrapText="1"/>
    </xf>
    <xf borderId="8" fillId="0" fontId="3" numFmtId="165" xfId="0" applyAlignment="1" applyBorder="1" applyFont="1" applyNumberFormat="1">
      <alignment horizontal="center"/>
    </xf>
    <xf borderId="9" fillId="0" fontId="3" numFmtId="164" xfId="0" applyAlignment="1" applyBorder="1" applyFont="1" applyNumberFormat="1">
      <alignment horizontal="center"/>
    </xf>
    <xf borderId="8" fillId="0" fontId="4" numFmtId="0" xfId="0" applyBorder="1" applyFont="1"/>
    <xf borderId="0" fillId="0" fontId="3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5" numFmtId="165" xfId="0" applyAlignment="1" applyBorder="1" applyFont="1" applyNumberFormat="1">
      <alignment horizontal="center"/>
    </xf>
    <xf borderId="8" fillId="0" fontId="1" numFmtId="165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9" fillId="0" fontId="1" numFmtId="9" xfId="0" applyAlignment="1" applyBorder="1" applyFont="1" applyNumberFormat="1">
      <alignment horizontal="center"/>
    </xf>
    <xf borderId="10" fillId="0" fontId="5" numFmtId="165" xfId="0" applyAlignment="1" applyBorder="1" applyFont="1" applyNumberFormat="1">
      <alignment horizontal="center"/>
    </xf>
    <xf borderId="11" fillId="0" fontId="1" numFmtId="165" xfId="0" applyAlignment="1" applyBorder="1" applyFont="1" applyNumberFormat="1">
      <alignment horizontal="center"/>
    </xf>
    <xf borderId="10" fillId="0" fontId="1" numFmtId="165" xfId="0" applyAlignment="1" applyBorder="1" applyFont="1" applyNumberFormat="1">
      <alignment horizontal="center"/>
    </xf>
    <xf borderId="12" fillId="0" fontId="1" numFmtId="9" xfId="0" applyAlignment="1" applyBorder="1" applyFont="1" applyNumberFormat="1">
      <alignment horizontal="center"/>
    </xf>
    <xf borderId="0" fillId="0" fontId="6" numFmtId="10" xfId="0" applyAlignment="1" applyFont="1" applyNumberFormat="1">
      <alignment horizontal="center"/>
    </xf>
    <xf borderId="4" fillId="0" fontId="1" numFmtId="165" xfId="0" applyAlignment="1" applyBorder="1" applyFont="1" applyNumberFormat="1">
      <alignment horizontal="center"/>
    </xf>
    <xf borderId="13" fillId="0" fontId="1" numFmtId="165" xfId="0" applyAlignment="1" applyBorder="1" applyFont="1" applyNumberFormat="1">
      <alignment horizontal="center"/>
    </xf>
    <xf borderId="14" fillId="0" fontId="3" numFmtId="0" xfId="0" applyAlignment="1" applyBorder="1" applyFont="1">
      <alignment horizontal="center"/>
    </xf>
    <xf borderId="6" fillId="0" fontId="3" numFmtId="164" xfId="0" applyAlignment="1" applyBorder="1" applyFont="1" applyNumberFormat="1">
      <alignment horizontal="center" shrinkToFit="0" wrapText="1"/>
    </xf>
    <xf borderId="6" fillId="0" fontId="3" numFmtId="10" xfId="0" applyAlignment="1" applyBorder="1" applyFont="1" applyNumberFormat="1">
      <alignment horizontal="center"/>
    </xf>
    <xf borderId="15" fillId="0" fontId="3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5" fillId="0" fontId="1" numFmtId="165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/>
    </xf>
    <xf borderId="7" fillId="0" fontId="1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.43"/>
    <col customWidth="1" min="3" max="3" width="14.14"/>
    <col customWidth="1" min="4" max="4" width="3.57"/>
    <col customWidth="1" min="5" max="5" width="14.29"/>
    <col customWidth="1" min="6" max="6" width="3.57"/>
    <col customWidth="1" min="7" max="7" width="10.14"/>
    <col customWidth="1" min="8" max="8" width="3.14"/>
    <col customWidth="1" min="9" max="9" width="15.86"/>
    <col customWidth="1" min="10" max="10" width="3.57"/>
    <col customWidth="1" min="11" max="11" width="15.86"/>
    <col customWidth="1" min="12" max="12" width="3.0"/>
    <col customWidth="1" min="13" max="13" width="11.14"/>
    <col customWidth="1" min="14" max="14" width="3.0"/>
    <col customWidth="1" min="15" max="15" width="11.14"/>
    <col customWidth="1" min="16" max="16" width="11.71"/>
    <col customWidth="1" min="17" max="17" width="11.14"/>
    <col customWidth="1" min="18" max="26" width="7.0"/>
  </cols>
  <sheetData>
    <row r="1" ht="14.25" customHeight="1">
      <c r="A1" s="1"/>
      <c r="B1" s="2" t="s">
        <v>0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</v>
      </c>
      <c r="B2" s="5"/>
      <c r="C2" s="6" t="s">
        <v>2</v>
      </c>
      <c r="D2" s="7"/>
      <c r="E2" s="8" t="s">
        <v>3</v>
      </c>
      <c r="F2" s="7"/>
      <c r="G2" s="9" t="s">
        <v>4</v>
      </c>
      <c r="H2" s="10"/>
      <c r="I2" s="8" t="s">
        <v>5</v>
      </c>
      <c r="J2" s="7"/>
      <c r="K2" s="8" t="s">
        <v>6</v>
      </c>
      <c r="L2" s="11"/>
      <c r="M2" s="12" t="s">
        <v>7</v>
      </c>
      <c r="N2" s="11"/>
      <c r="O2" s="12" t="s">
        <v>8</v>
      </c>
      <c r="P2" s="13" t="s">
        <v>9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ht="17.25" customHeight="1">
      <c r="A3" s="4"/>
      <c r="B3" s="5"/>
      <c r="C3" s="14"/>
      <c r="D3" s="15"/>
      <c r="E3" s="16"/>
      <c r="F3" s="15"/>
      <c r="G3" s="16"/>
      <c r="H3" s="17"/>
      <c r="I3" s="16">
        <v>0.04</v>
      </c>
      <c r="J3" s="15"/>
      <c r="K3" s="16">
        <f>I3</f>
        <v>0.04</v>
      </c>
      <c r="L3" s="15"/>
      <c r="M3" s="18"/>
      <c r="N3" s="15"/>
      <c r="O3" s="18"/>
      <c r="P3" s="19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"/>
      <c r="B4" s="5"/>
      <c r="C4" s="20"/>
      <c r="D4" s="5"/>
      <c r="E4" s="21"/>
      <c r="F4" s="5"/>
      <c r="G4" s="21"/>
      <c r="H4" s="22"/>
      <c r="I4" s="23">
        <f>213000+220000</f>
        <v>433000</v>
      </c>
      <c r="J4" s="5"/>
      <c r="K4" s="23">
        <f>380000+238000+15000+71000</f>
        <v>704000</v>
      </c>
      <c r="L4" s="5"/>
      <c r="M4" s="20"/>
      <c r="N4" s="5"/>
      <c r="O4" s="20"/>
      <c r="P4" s="24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4"/>
      <c r="B5" s="5"/>
      <c r="C5" s="20"/>
      <c r="D5" s="5"/>
      <c r="E5" s="25"/>
      <c r="F5" s="5"/>
      <c r="G5" s="25"/>
      <c r="H5" s="22"/>
      <c r="I5" s="23"/>
      <c r="J5" s="5"/>
      <c r="K5" s="23"/>
      <c r="L5" s="5"/>
      <c r="M5" s="20"/>
      <c r="N5" s="5"/>
      <c r="O5" s="20"/>
      <c r="P5" s="24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"/>
      <c r="B6" s="5"/>
      <c r="C6" s="20"/>
      <c r="D6" s="5"/>
      <c r="E6" s="23"/>
      <c r="F6" s="5"/>
      <c r="G6" s="23">
        <v>300000.0</v>
      </c>
      <c r="H6" s="26"/>
      <c r="I6" s="23" t="s">
        <v>10</v>
      </c>
      <c r="J6" s="5"/>
      <c r="K6" s="23" t="s">
        <v>11</v>
      </c>
      <c r="L6" s="5"/>
      <c r="M6" s="20"/>
      <c r="N6" s="5"/>
      <c r="O6" s="20"/>
      <c r="P6" s="24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">
        <v>60.0</v>
      </c>
      <c r="B7" s="27"/>
      <c r="C7" s="28">
        <v>72000.0</v>
      </c>
      <c r="D7" s="27"/>
      <c r="E7" s="29">
        <f>1900*12</f>
        <v>22800</v>
      </c>
      <c r="F7" s="27"/>
      <c r="G7" s="29"/>
      <c r="H7" s="27"/>
      <c r="I7" s="30"/>
      <c r="J7" s="27"/>
      <c r="K7" s="30"/>
      <c r="L7" s="27"/>
      <c r="M7" s="29">
        <f t="shared" ref="M7:M37" si="1">SUM(B7:L7)</f>
        <v>94800</v>
      </c>
      <c r="N7" s="27"/>
      <c r="O7" s="29">
        <f t="shared" ref="O7:O37" si="2">M7/12</f>
        <v>7900</v>
      </c>
      <c r="P7" s="31">
        <f t="shared" ref="P7:P37" si="3">(C7+E7)/M7</f>
        <v>1</v>
      </c>
      <c r="Q7" s="27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>
        <f t="shared" ref="A8:A37" si="4">A7+1</f>
        <v>61</v>
      </c>
      <c r="B8" s="27"/>
      <c r="C8" s="28">
        <v>72000.0</v>
      </c>
      <c r="D8" s="27"/>
      <c r="E8" s="29">
        <f t="shared" ref="E8:E11" si="5">E7</f>
        <v>22800</v>
      </c>
      <c r="F8" s="27"/>
      <c r="G8" s="29"/>
      <c r="H8" s="27"/>
      <c r="I8" s="29"/>
      <c r="J8" s="27"/>
      <c r="K8" s="29"/>
      <c r="L8" s="27"/>
      <c r="M8" s="29">
        <f t="shared" si="1"/>
        <v>94800</v>
      </c>
      <c r="N8" s="27"/>
      <c r="O8" s="29">
        <f t="shared" si="2"/>
        <v>7900</v>
      </c>
      <c r="P8" s="31">
        <f t="shared" si="3"/>
        <v>1</v>
      </c>
      <c r="Q8" s="27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>
        <f t="shared" si="4"/>
        <v>62</v>
      </c>
      <c r="B9" s="27"/>
      <c r="C9" s="28">
        <v>72000.0</v>
      </c>
      <c r="D9" s="27"/>
      <c r="E9" s="29">
        <f t="shared" si="5"/>
        <v>22800</v>
      </c>
      <c r="F9" s="27"/>
      <c r="G9" s="29"/>
      <c r="H9" s="27"/>
      <c r="I9" s="29"/>
      <c r="J9" s="27"/>
      <c r="K9" s="29"/>
      <c r="L9" s="27"/>
      <c r="M9" s="29">
        <f t="shared" si="1"/>
        <v>94800</v>
      </c>
      <c r="N9" s="27"/>
      <c r="O9" s="29">
        <f t="shared" si="2"/>
        <v>7900</v>
      </c>
      <c r="P9" s="31">
        <f t="shared" si="3"/>
        <v>1</v>
      </c>
      <c r="Q9" s="27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>
        <f t="shared" si="4"/>
        <v>63</v>
      </c>
      <c r="B10" s="27"/>
      <c r="C10" s="28">
        <v>72000.0</v>
      </c>
      <c r="D10" s="27"/>
      <c r="E10" s="29">
        <f t="shared" si="5"/>
        <v>22800</v>
      </c>
      <c r="F10" s="27"/>
      <c r="G10" s="29"/>
      <c r="H10" s="27"/>
      <c r="I10" s="29"/>
      <c r="J10" s="27"/>
      <c r="K10" s="29"/>
      <c r="L10" s="27"/>
      <c r="M10" s="29">
        <f t="shared" si="1"/>
        <v>94800</v>
      </c>
      <c r="N10" s="27"/>
      <c r="O10" s="29">
        <f t="shared" si="2"/>
        <v>7900</v>
      </c>
      <c r="P10" s="31">
        <f t="shared" si="3"/>
        <v>1</v>
      </c>
      <c r="Q10" s="27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>
        <f t="shared" si="4"/>
        <v>64</v>
      </c>
      <c r="B11" s="27"/>
      <c r="C11" s="32">
        <v>72000.0</v>
      </c>
      <c r="D11" s="33"/>
      <c r="E11" s="34">
        <f t="shared" si="5"/>
        <v>22800</v>
      </c>
      <c r="F11" s="33"/>
      <c r="G11" s="34"/>
      <c r="H11" s="33"/>
      <c r="I11" s="34"/>
      <c r="J11" s="33"/>
      <c r="K11" s="34"/>
      <c r="L11" s="33"/>
      <c r="M11" s="34">
        <f t="shared" si="1"/>
        <v>94800</v>
      </c>
      <c r="N11" s="33"/>
      <c r="O11" s="34">
        <f t="shared" si="2"/>
        <v>7900</v>
      </c>
      <c r="P11" s="35">
        <f t="shared" si="3"/>
        <v>1</v>
      </c>
      <c r="Q11" s="27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>
        <f t="shared" si="4"/>
        <v>65</v>
      </c>
      <c r="B12" s="27"/>
      <c r="C12" s="29">
        <f>2200*12</f>
        <v>26400</v>
      </c>
      <c r="D12" s="27"/>
      <c r="E12" s="29">
        <f>(E11)+626*12</f>
        <v>30312</v>
      </c>
      <c r="F12" s="27"/>
      <c r="G12" s="29"/>
      <c r="H12" s="27"/>
      <c r="I12" s="29">
        <f>506000*3%</f>
        <v>15180</v>
      </c>
      <c r="J12" s="27"/>
      <c r="K12" s="29">
        <f>866000*3%</f>
        <v>25980</v>
      </c>
      <c r="L12" s="27"/>
      <c r="M12" s="29">
        <f t="shared" si="1"/>
        <v>97872</v>
      </c>
      <c r="N12" s="27"/>
      <c r="O12" s="29">
        <f t="shared" si="2"/>
        <v>8156</v>
      </c>
      <c r="P12" s="31">
        <f t="shared" si="3"/>
        <v>0.5794507111</v>
      </c>
      <c r="Q12" s="27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">
        <f t="shared" si="4"/>
        <v>66</v>
      </c>
      <c r="B13" s="27"/>
      <c r="C13" s="29">
        <f t="shared" ref="C13:C37" si="6">C12*1.02</f>
        <v>26928</v>
      </c>
      <c r="D13" s="27"/>
      <c r="E13" s="29">
        <f t="shared" ref="E13:E37" si="7">E12</f>
        <v>30312</v>
      </c>
      <c r="F13" s="27"/>
      <c r="G13" s="29"/>
      <c r="H13" s="27"/>
      <c r="I13" s="29">
        <f t="shared" ref="I13:I37" si="8">I12*1.02</f>
        <v>15483.6</v>
      </c>
      <c r="J13" s="27"/>
      <c r="K13" s="29">
        <f t="shared" ref="K13:K37" si="9">K12*1.02</f>
        <v>26499.6</v>
      </c>
      <c r="L13" s="27"/>
      <c r="M13" s="29">
        <f t="shared" si="1"/>
        <v>99223.2</v>
      </c>
      <c r="N13" s="27"/>
      <c r="O13" s="29">
        <f t="shared" si="2"/>
        <v>8268.6</v>
      </c>
      <c r="P13" s="31">
        <f t="shared" si="3"/>
        <v>0.5768812133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">
        <f t="shared" si="4"/>
        <v>67</v>
      </c>
      <c r="B14" s="27"/>
      <c r="C14" s="29">
        <f t="shared" si="6"/>
        <v>27466.56</v>
      </c>
      <c r="D14" s="27"/>
      <c r="E14" s="29">
        <f t="shared" si="7"/>
        <v>30312</v>
      </c>
      <c r="F14" s="27"/>
      <c r="G14" s="29"/>
      <c r="H14" s="27"/>
      <c r="I14" s="29">
        <f t="shared" si="8"/>
        <v>15793.272</v>
      </c>
      <c r="J14" s="27"/>
      <c r="K14" s="29">
        <f t="shared" si="9"/>
        <v>27029.592</v>
      </c>
      <c r="L14" s="27"/>
      <c r="M14" s="29">
        <f t="shared" si="1"/>
        <v>100601.424</v>
      </c>
      <c r="N14" s="27"/>
      <c r="O14" s="29">
        <f t="shared" si="2"/>
        <v>8383.452</v>
      </c>
      <c r="P14" s="31">
        <f t="shared" si="3"/>
        <v>0.5743314329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">
        <f t="shared" si="4"/>
        <v>68</v>
      </c>
      <c r="B15" s="27"/>
      <c r="C15" s="29">
        <f t="shared" si="6"/>
        <v>28015.8912</v>
      </c>
      <c r="D15" s="27"/>
      <c r="E15" s="29">
        <f t="shared" si="7"/>
        <v>30312</v>
      </c>
      <c r="F15" s="27"/>
      <c r="G15" s="29"/>
      <c r="H15" s="27"/>
      <c r="I15" s="29">
        <f t="shared" si="8"/>
        <v>16109.13744</v>
      </c>
      <c r="J15" s="27"/>
      <c r="K15" s="29">
        <f t="shared" si="9"/>
        <v>27570.18384</v>
      </c>
      <c r="L15" s="27"/>
      <c r="M15" s="29">
        <f t="shared" si="1"/>
        <v>102007.2125</v>
      </c>
      <c r="N15" s="27"/>
      <c r="O15" s="29">
        <f t="shared" si="2"/>
        <v>8500.60104</v>
      </c>
      <c r="P15" s="31">
        <f t="shared" si="3"/>
        <v>0.5718016382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">
        <f t="shared" si="4"/>
        <v>69</v>
      </c>
      <c r="B16" s="27"/>
      <c r="C16" s="29">
        <f t="shared" si="6"/>
        <v>28576.20902</v>
      </c>
      <c r="D16" s="27"/>
      <c r="E16" s="29">
        <f t="shared" si="7"/>
        <v>30312</v>
      </c>
      <c r="F16" s="27"/>
      <c r="G16" s="29"/>
      <c r="H16" s="27"/>
      <c r="I16" s="29">
        <f t="shared" si="8"/>
        <v>16431.32019</v>
      </c>
      <c r="J16" s="27"/>
      <c r="K16" s="29">
        <f t="shared" si="9"/>
        <v>28121.58752</v>
      </c>
      <c r="L16" s="27"/>
      <c r="M16" s="29">
        <f t="shared" si="1"/>
        <v>103441.1167</v>
      </c>
      <c r="N16" s="27"/>
      <c r="O16" s="29">
        <f t="shared" si="2"/>
        <v>8620.093061</v>
      </c>
      <c r="P16" s="31">
        <f t="shared" si="3"/>
        <v>0.5692920851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">
        <f t="shared" si="4"/>
        <v>70</v>
      </c>
      <c r="B17" s="27"/>
      <c r="C17" s="29">
        <f t="shared" si="6"/>
        <v>29147.7332</v>
      </c>
      <c r="D17" s="27"/>
      <c r="E17" s="29">
        <f t="shared" si="7"/>
        <v>30312</v>
      </c>
      <c r="F17" s="27"/>
      <c r="G17" s="29"/>
      <c r="H17" s="27"/>
      <c r="I17" s="29">
        <f t="shared" si="8"/>
        <v>16759.94659</v>
      </c>
      <c r="J17" s="27"/>
      <c r="K17" s="29">
        <f t="shared" si="9"/>
        <v>28684.01927</v>
      </c>
      <c r="L17" s="27"/>
      <c r="M17" s="29">
        <f t="shared" si="1"/>
        <v>104903.6991</v>
      </c>
      <c r="N17" s="27"/>
      <c r="O17" s="29">
        <f t="shared" si="2"/>
        <v>8741.974922</v>
      </c>
      <c r="P17" s="31">
        <f t="shared" si="3"/>
        <v>0.5668030178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">
        <f t="shared" si="4"/>
        <v>71</v>
      </c>
      <c r="B18" s="27"/>
      <c r="C18" s="29">
        <f t="shared" si="6"/>
        <v>29730.68787</v>
      </c>
      <c r="D18" s="27"/>
      <c r="E18" s="29">
        <f t="shared" si="7"/>
        <v>30312</v>
      </c>
      <c r="F18" s="27"/>
      <c r="G18" s="29"/>
      <c r="H18" s="27"/>
      <c r="I18" s="29">
        <f t="shared" si="8"/>
        <v>17095.14552</v>
      </c>
      <c r="J18" s="27"/>
      <c r="K18" s="29">
        <f t="shared" si="9"/>
        <v>29257.69965</v>
      </c>
      <c r="L18" s="36"/>
      <c r="M18" s="29">
        <f t="shared" si="1"/>
        <v>106395.533</v>
      </c>
      <c r="N18" s="36"/>
      <c r="O18" s="29">
        <f t="shared" si="2"/>
        <v>8866.29442</v>
      </c>
      <c r="P18" s="31">
        <f t="shared" si="3"/>
        <v>0.5643346685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">
        <f t="shared" si="4"/>
        <v>72</v>
      </c>
      <c r="B19" s="27"/>
      <c r="C19" s="29">
        <f t="shared" si="6"/>
        <v>30325.30163</v>
      </c>
      <c r="D19" s="27"/>
      <c r="E19" s="29">
        <f t="shared" si="7"/>
        <v>30312</v>
      </c>
      <c r="F19" s="27"/>
      <c r="G19" s="29"/>
      <c r="H19" s="27"/>
      <c r="I19" s="29">
        <f t="shared" si="8"/>
        <v>17437.04843</v>
      </c>
      <c r="J19" s="27"/>
      <c r="K19" s="29">
        <f t="shared" si="9"/>
        <v>29842.85365</v>
      </c>
      <c r="L19" s="36"/>
      <c r="M19" s="29">
        <f t="shared" si="1"/>
        <v>107917.2037</v>
      </c>
      <c r="N19" s="36"/>
      <c r="O19" s="29">
        <f t="shared" si="2"/>
        <v>8993.100309</v>
      </c>
      <c r="P19" s="31">
        <f t="shared" si="3"/>
        <v>0.5618872575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">
        <f t="shared" si="4"/>
        <v>73</v>
      </c>
      <c r="B20" s="27"/>
      <c r="C20" s="29">
        <f t="shared" si="6"/>
        <v>30931.80766</v>
      </c>
      <c r="D20" s="27"/>
      <c r="E20" s="29">
        <f t="shared" si="7"/>
        <v>30312</v>
      </c>
      <c r="F20" s="27"/>
      <c r="G20" s="29"/>
      <c r="H20" s="27"/>
      <c r="I20" s="29">
        <f t="shared" si="8"/>
        <v>17785.7894</v>
      </c>
      <c r="J20" s="27"/>
      <c r="K20" s="29">
        <f t="shared" si="9"/>
        <v>30439.71072</v>
      </c>
      <c r="L20" s="36"/>
      <c r="M20" s="29">
        <f t="shared" si="1"/>
        <v>109469.3078</v>
      </c>
      <c r="N20" s="36"/>
      <c r="O20" s="29">
        <f t="shared" si="2"/>
        <v>9122.442315</v>
      </c>
      <c r="P20" s="31">
        <f t="shared" si="3"/>
        <v>0.5594609932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">
        <f t="shared" si="4"/>
        <v>74</v>
      </c>
      <c r="B21" s="27"/>
      <c r="C21" s="29">
        <f t="shared" si="6"/>
        <v>31550.44381</v>
      </c>
      <c r="D21" s="27"/>
      <c r="E21" s="29">
        <f t="shared" si="7"/>
        <v>30312</v>
      </c>
      <c r="F21" s="27"/>
      <c r="G21" s="29"/>
      <c r="H21" s="27"/>
      <c r="I21" s="29">
        <f t="shared" si="8"/>
        <v>18141.50519</v>
      </c>
      <c r="J21" s="27"/>
      <c r="K21" s="29">
        <f t="shared" si="9"/>
        <v>31048.50493</v>
      </c>
      <c r="L21" s="36"/>
      <c r="M21" s="29">
        <f t="shared" si="1"/>
        <v>111052.4539</v>
      </c>
      <c r="N21" s="36"/>
      <c r="O21" s="29">
        <f t="shared" si="2"/>
        <v>9254.371161</v>
      </c>
      <c r="P21" s="31">
        <f t="shared" si="3"/>
        <v>0.5570560723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">
        <f t="shared" si="4"/>
        <v>75</v>
      </c>
      <c r="B22" s="27"/>
      <c r="C22" s="29">
        <f t="shared" si="6"/>
        <v>32181.45269</v>
      </c>
      <c r="D22" s="27"/>
      <c r="E22" s="29">
        <f t="shared" si="7"/>
        <v>30312</v>
      </c>
      <c r="F22" s="27"/>
      <c r="G22" s="29"/>
      <c r="H22" s="27"/>
      <c r="I22" s="29">
        <f t="shared" si="8"/>
        <v>18504.3353</v>
      </c>
      <c r="J22" s="27"/>
      <c r="K22" s="29">
        <f t="shared" si="9"/>
        <v>31669.47503</v>
      </c>
      <c r="L22" s="36"/>
      <c r="M22" s="29">
        <f t="shared" si="1"/>
        <v>112667.263</v>
      </c>
      <c r="N22" s="36"/>
      <c r="O22" s="29">
        <f t="shared" si="2"/>
        <v>9388.938585</v>
      </c>
      <c r="P22" s="31">
        <f t="shared" si="3"/>
        <v>0.5546726797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">
        <f t="shared" si="4"/>
        <v>76</v>
      </c>
      <c r="B23" s="27"/>
      <c r="C23" s="29">
        <f t="shared" si="6"/>
        <v>32825.08174</v>
      </c>
      <c r="D23" s="27"/>
      <c r="E23" s="29">
        <f t="shared" si="7"/>
        <v>30312</v>
      </c>
      <c r="F23" s="27"/>
      <c r="G23" s="29"/>
      <c r="H23" s="27"/>
      <c r="I23" s="29">
        <f t="shared" si="8"/>
        <v>18874.422</v>
      </c>
      <c r="J23" s="27"/>
      <c r="K23" s="29">
        <f t="shared" si="9"/>
        <v>32302.86453</v>
      </c>
      <c r="L23" s="27"/>
      <c r="M23" s="29">
        <f t="shared" si="1"/>
        <v>114314.3683</v>
      </c>
      <c r="N23" s="27"/>
      <c r="O23" s="29">
        <f t="shared" si="2"/>
        <v>9526.197356</v>
      </c>
      <c r="P23" s="31">
        <f t="shared" si="3"/>
        <v>0.5523109885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">
        <f t="shared" si="4"/>
        <v>77</v>
      </c>
      <c r="B24" s="27"/>
      <c r="C24" s="29">
        <f t="shared" si="6"/>
        <v>33481.58338</v>
      </c>
      <c r="D24" s="27"/>
      <c r="E24" s="29">
        <f t="shared" si="7"/>
        <v>30312</v>
      </c>
      <c r="F24" s="27"/>
      <c r="G24" s="29"/>
      <c r="H24" s="27"/>
      <c r="I24" s="29">
        <f t="shared" si="8"/>
        <v>19251.91044</v>
      </c>
      <c r="J24" s="27"/>
      <c r="K24" s="29">
        <f t="shared" si="9"/>
        <v>32948.92182</v>
      </c>
      <c r="L24" s="27"/>
      <c r="M24" s="29">
        <f t="shared" si="1"/>
        <v>115994.4156</v>
      </c>
      <c r="N24" s="27"/>
      <c r="O24" s="29">
        <f t="shared" si="2"/>
        <v>9666.201303</v>
      </c>
      <c r="P24" s="31">
        <f t="shared" si="3"/>
        <v>0.5499711605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">
        <f t="shared" si="4"/>
        <v>78</v>
      </c>
      <c r="B25" s="27"/>
      <c r="C25" s="29">
        <f t="shared" si="6"/>
        <v>34151.21504</v>
      </c>
      <c r="D25" s="27"/>
      <c r="E25" s="29">
        <f t="shared" si="7"/>
        <v>30312</v>
      </c>
      <c r="F25" s="27"/>
      <c r="G25" s="29"/>
      <c r="H25" s="27"/>
      <c r="I25" s="29">
        <f t="shared" si="8"/>
        <v>19636.94865</v>
      </c>
      <c r="J25" s="27"/>
      <c r="K25" s="29">
        <f t="shared" si="9"/>
        <v>33607.90026</v>
      </c>
      <c r="L25" s="27"/>
      <c r="M25" s="29">
        <f t="shared" si="1"/>
        <v>117708.064</v>
      </c>
      <c r="N25" s="27"/>
      <c r="O25" s="29">
        <f t="shared" si="2"/>
        <v>9809.005329</v>
      </c>
      <c r="P25" s="31">
        <f t="shared" si="3"/>
        <v>0.5476533457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">
        <f t="shared" si="4"/>
        <v>79</v>
      </c>
      <c r="B26" s="27"/>
      <c r="C26" s="29">
        <f t="shared" si="6"/>
        <v>34834.23934</v>
      </c>
      <c r="D26" s="27"/>
      <c r="E26" s="29">
        <f t="shared" si="7"/>
        <v>30312</v>
      </c>
      <c r="F26" s="27"/>
      <c r="G26" s="29"/>
      <c r="H26" s="27"/>
      <c r="I26" s="29">
        <f t="shared" si="8"/>
        <v>20029.68762</v>
      </c>
      <c r="J26" s="27"/>
      <c r="K26" s="29">
        <f t="shared" si="9"/>
        <v>34280.05826</v>
      </c>
      <c r="L26" s="27"/>
      <c r="M26" s="29">
        <f t="shared" si="1"/>
        <v>119455.9852</v>
      </c>
      <c r="N26" s="27"/>
      <c r="O26" s="29">
        <f t="shared" si="2"/>
        <v>9954.665436</v>
      </c>
      <c r="P26" s="31">
        <f t="shared" si="3"/>
        <v>0.5453576832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>
        <f t="shared" si="4"/>
        <v>80</v>
      </c>
      <c r="B27" s="27"/>
      <c r="C27" s="29">
        <f t="shared" si="6"/>
        <v>35530.92413</v>
      </c>
      <c r="D27" s="27"/>
      <c r="E27" s="29">
        <f t="shared" si="7"/>
        <v>30312</v>
      </c>
      <c r="F27" s="27"/>
      <c r="G27" s="29"/>
      <c r="H27" s="27"/>
      <c r="I27" s="29">
        <f t="shared" si="8"/>
        <v>20430.28138</v>
      </c>
      <c r="J27" s="27"/>
      <c r="K27" s="29">
        <f t="shared" si="9"/>
        <v>34965.65943</v>
      </c>
      <c r="L27" s="27"/>
      <c r="M27" s="29">
        <f t="shared" si="1"/>
        <v>121238.8649</v>
      </c>
      <c r="N27" s="27"/>
      <c r="O27" s="29">
        <f t="shared" si="2"/>
        <v>10103.23874</v>
      </c>
      <c r="P27" s="31">
        <f t="shared" si="3"/>
        <v>0.5430843003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">
        <f t="shared" si="4"/>
        <v>81</v>
      </c>
      <c r="B28" s="27"/>
      <c r="C28" s="29">
        <f t="shared" si="6"/>
        <v>36241.54261</v>
      </c>
      <c r="D28" s="27"/>
      <c r="E28" s="29">
        <f t="shared" si="7"/>
        <v>30312</v>
      </c>
      <c r="F28" s="27"/>
      <c r="G28" s="29"/>
      <c r="H28" s="27"/>
      <c r="I28" s="29">
        <f t="shared" si="8"/>
        <v>20838.887</v>
      </c>
      <c r="J28" s="27"/>
      <c r="K28" s="29">
        <f t="shared" si="9"/>
        <v>35664.97262</v>
      </c>
      <c r="L28" s="27"/>
      <c r="M28" s="29">
        <f t="shared" si="1"/>
        <v>123057.4022</v>
      </c>
      <c r="N28" s="27"/>
      <c r="O28" s="29">
        <f t="shared" si="2"/>
        <v>10254.78352</v>
      </c>
      <c r="P28" s="31">
        <f t="shared" si="3"/>
        <v>0.5408333136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">
        <f t="shared" si="4"/>
        <v>82</v>
      </c>
      <c r="B29" s="27"/>
      <c r="C29" s="29">
        <f t="shared" si="6"/>
        <v>36966.37347</v>
      </c>
      <c r="D29" s="27"/>
      <c r="E29" s="29">
        <f t="shared" si="7"/>
        <v>30312</v>
      </c>
      <c r="F29" s="27"/>
      <c r="G29" s="29"/>
      <c r="H29" s="27"/>
      <c r="I29" s="29">
        <f t="shared" si="8"/>
        <v>21255.66474</v>
      </c>
      <c r="J29" s="27"/>
      <c r="K29" s="29">
        <f t="shared" si="9"/>
        <v>36378.27207</v>
      </c>
      <c r="L29" s="27"/>
      <c r="M29" s="29">
        <f t="shared" si="1"/>
        <v>124912.3103</v>
      </c>
      <c r="N29" s="27"/>
      <c r="O29" s="29">
        <f t="shared" si="2"/>
        <v>10409.35919</v>
      </c>
      <c r="P29" s="31">
        <f t="shared" si="3"/>
        <v>0.5386048286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">
        <f t="shared" si="4"/>
        <v>83</v>
      </c>
      <c r="B30" s="27"/>
      <c r="C30" s="29">
        <f t="shared" si="6"/>
        <v>37705.70094</v>
      </c>
      <c r="D30" s="27"/>
      <c r="E30" s="29">
        <f t="shared" si="7"/>
        <v>30312</v>
      </c>
      <c r="F30" s="27"/>
      <c r="G30" s="29"/>
      <c r="H30" s="27"/>
      <c r="I30" s="29">
        <f t="shared" si="8"/>
        <v>21680.77804</v>
      </c>
      <c r="J30" s="27"/>
      <c r="K30" s="29">
        <f t="shared" si="9"/>
        <v>37105.83751</v>
      </c>
      <c r="L30" s="27"/>
      <c r="M30" s="37">
        <f t="shared" si="1"/>
        <v>126804.3165</v>
      </c>
      <c r="N30" s="27"/>
      <c r="O30" s="29">
        <f t="shared" si="2"/>
        <v>10567.02637</v>
      </c>
      <c r="P30" s="31">
        <f t="shared" si="3"/>
        <v>0.5363989399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">
        <f t="shared" si="4"/>
        <v>84</v>
      </c>
      <c r="B31" s="27"/>
      <c r="C31" s="29">
        <f t="shared" si="6"/>
        <v>38459.81495</v>
      </c>
      <c r="D31" s="27"/>
      <c r="E31" s="29">
        <f t="shared" si="7"/>
        <v>30312</v>
      </c>
      <c r="F31" s="27"/>
      <c r="G31" s="29"/>
      <c r="H31" s="27"/>
      <c r="I31" s="29">
        <f t="shared" si="8"/>
        <v>22114.3936</v>
      </c>
      <c r="J31" s="27"/>
      <c r="K31" s="29">
        <f t="shared" si="9"/>
        <v>37847.95426</v>
      </c>
      <c r="L31" s="27"/>
      <c r="M31" s="29">
        <f t="shared" si="1"/>
        <v>128734.1628</v>
      </c>
      <c r="N31" s="27"/>
      <c r="O31" s="29">
        <f t="shared" si="2"/>
        <v>10727.8469</v>
      </c>
      <c r="P31" s="31">
        <f t="shared" si="3"/>
        <v>0.5342157315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">
        <f t="shared" si="4"/>
        <v>85</v>
      </c>
      <c r="B32" s="27"/>
      <c r="C32" s="29">
        <f t="shared" si="6"/>
        <v>39229.01125</v>
      </c>
      <c r="D32" s="27"/>
      <c r="E32" s="29">
        <f t="shared" si="7"/>
        <v>30312</v>
      </c>
      <c r="F32" s="27"/>
      <c r="G32" s="29"/>
      <c r="H32" s="27"/>
      <c r="I32" s="29">
        <f t="shared" si="8"/>
        <v>22556.68147</v>
      </c>
      <c r="J32" s="27"/>
      <c r="K32" s="29">
        <f t="shared" si="9"/>
        <v>38604.91335</v>
      </c>
      <c r="L32" s="27"/>
      <c r="M32" s="29">
        <f t="shared" si="1"/>
        <v>130702.6061</v>
      </c>
      <c r="N32" s="27"/>
      <c r="O32" s="27">
        <f t="shared" si="2"/>
        <v>10891.88384</v>
      </c>
      <c r="P32" s="31">
        <f t="shared" si="3"/>
        <v>0.5320552768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">
        <f t="shared" si="4"/>
        <v>86</v>
      </c>
      <c r="B33" s="27"/>
      <c r="C33" s="29">
        <f t="shared" si="6"/>
        <v>40013.59148</v>
      </c>
      <c r="D33" s="27"/>
      <c r="E33" s="29">
        <f t="shared" si="7"/>
        <v>30312</v>
      </c>
      <c r="F33" s="27"/>
      <c r="G33" s="29"/>
      <c r="H33" s="27"/>
      <c r="I33" s="29">
        <f t="shared" si="8"/>
        <v>23007.8151</v>
      </c>
      <c r="J33" s="27"/>
      <c r="K33" s="29">
        <f t="shared" si="9"/>
        <v>39377.01161</v>
      </c>
      <c r="L33" s="27"/>
      <c r="M33" s="29">
        <f t="shared" si="1"/>
        <v>132710.4182</v>
      </c>
      <c r="N33" s="27"/>
      <c r="O33" s="27">
        <f t="shared" si="2"/>
        <v>11059.20152</v>
      </c>
      <c r="P33" s="31">
        <f t="shared" si="3"/>
        <v>0.529917639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">
        <f t="shared" si="4"/>
        <v>87</v>
      </c>
      <c r="B34" s="27"/>
      <c r="C34" s="29">
        <f t="shared" si="6"/>
        <v>40813.86331</v>
      </c>
      <c r="D34" s="27"/>
      <c r="E34" s="29">
        <f t="shared" si="7"/>
        <v>30312</v>
      </c>
      <c r="F34" s="27"/>
      <c r="G34" s="29"/>
      <c r="H34" s="27"/>
      <c r="I34" s="29">
        <f t="shared" si="8"/>
        <v>23467.9714</v>
      </c>
      <c r="J34" s="27"/>
      <c r="K34" s="29">
        <f t="shared" si="9"/>
        <v>40164.55185</v>
      </c>
      <c r="L34" s="27"/>
      <c r="M34" s="29">
        <f t="shared" si="1"/>
        <v>134758.3866</v>
      </c>
      <c r="N34" s="27"/>
      <c r="O34" s="27">
        <f t="shared" si="2"/>
        <v>11229.86555</v>
      </c>
      <c r="P34" s="31">
        <f t="shared" si="3"/>
        <v>0.5278028709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">
        <f t="shared" si="4"/>
        <v>88</v>
      </c>
      <c r="B35" s="27"/>
      <c r="C35" s="29">
        <f t="shared" si="6"/>
        <v>41630.14057</v>
      </c>
      <c r="D35" s="27"/>
      <c r="E35" s="29">
        <f t="shared" si="7"/>
        <v>30312</v>
      </c>
      <c r="F35" s="27"/>
      <c r="G35" s="29"/>
      <c r="H35" s="27"/>
      <c r="I35" s="29">
        <f t="shared" si="8"/>
        <v>23937.33083</v>
      </c>
      <c r="J35" s="27"/>
      <c r="K35" s="29">
        <f t="shared" si="9"/>
        <v>40967.84288</v>
      </c>
      <c r="L35" s="27"/>
      <c r="M35" s="29">
        <f t="shared" si="1"/>
        <v>136847.3143</v>
      </c>
      <c r="N35" s="27"/>
      <c r="O35" s="27">
        <f t="shared" si="2"/>
        <v>11403.94286</v>
      </c>
      <c r="P35" s="31">
        <f t="shared" si="3"/>
        <v>0.5257110156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">
        <f t="shared" si="4"/>
        <v>89</v>
      </c>
      <c r="B36" s="27"/>
      <c r="C36" s="29">
        <f t="shared" si="6"/>
        <v>42462.74339</v>
      </c>
      <c r="D36" s="27"/>
      <c r="E36" s="29">
        <f t="shared" si="7"/>
        <v>30312</v>
      </c>
      <c r="F36" s="27"/>
      <c r="G36" s="29"/>
      <c r="H36" s="27"/>
      <c r="I36" s="29">
        <f t="shared" si="8"/>
        <v>24416.07745</v>
      </c>
      <c r="J36" s="27"/>
      <c r="K36" s="29">
        <f t="shared" si="9"/>
        <v>41787.19974</v>
      </c>
      <c r="L36" s="27"/>
      <c r="M36" s="29">
        <f t="shared" si="1"/>
        <v>138978.0206</v>
      </c>
      <c r="N36" s="27"/>
      <c r="O36" s="27">
        <f t="shared" si="2"/>
        <v>11581.50171</v>
      </c>
      <c r="P36" s="31">
        <f t="shared" si="3"/>
        <v>0.523642106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">
        <f t="shared" si="4"/>
        <v>90</v>
      </c>
      <c r="B37" s="27"/>
      <c r="C37" s="38">
        <f t="shared" si="6"/>
        <v>43311.99825</v>
      </c>
      <c r="D37" s="33"/>
      <c r="E37" s="38">
        <f t="shared" si="7"/>
        <v>30312</v>
      </c>
      <c r="F37" s="33"/>
      <c r="G37" s="38"/>
      <c r="H37" s="33"/>
      <c r="I37" s="38">
        <f t="shared" si="8"/>
        <v>24904.399</v>
      </c>
      <c r="J37" s="33"/>
      <c r="K37" s="38">
        <f t="shared" si="9"/>
        <v>42622.94374</v>
      </c>
      <c r="L37" s="33"/>
      <c r="M37" s="38">
        <f t="shared" si="1"/>
        <v>141151.341</v>
      </c>
      <c r="N37" s="33"/>
      <c r="O37" s="34">
        <f t="shared" si="2"/>
        <v>11762.61175</v>
      </c>
      <c r="P37" s="35">
        <f t="shared" si="3"/>
        <v>0.5215961658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1:P1"/>
    <mergeCell ref="E4:E5"/>
    <mergeCell ref="G4:G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.43"/>
    <col customWidth="1" min="3" max="3" width="14.14"/>
    <col customWidth="1" min="4" max="4" width="3.57"/>
    <col customWidth="1" min="5" max="5" width="14.29"/>
    <col customWidth="1" min="6" max="6" width="3.57"/>
    <col customWidth="1" min="7" max="7" width="10.14"/>
    <col customWidth="1" min="8" max="8" width="3.14"/>
    <col customWidth="1" min="9" max="9" width="15.86"/>
    <col customWidth="1" min="10" max="10" width="3.57"/>
    <col customWidth="1" min="11" max="11" width="15.86"/>
    <col customWidth="1" min="12" max="12" width="3.57"/>
    <col customWidth="1" min="13" max="13" width="15.86"/>
    <col customWidth="1" min="14" max="14" width="3.0"/>
    <col customWidth="1" min="15" max="15" width="11.14"/>
    <col customWidth="1" min="16" max="16" width="3.0"/>
    <col customWidth="1" min="17" max="17" width="11.14"/>
    <col customWidth="1" min="18" max="18" width="11.71"/>
    <col customWidth="1" min="19" max="19" width="11.14"/>
    <col customWidth="1" min="20" max="26" width="7.0"/>
  </cols>
  <sheetData>
    <row r="1" ht="14.25" customHeight="1">
      <c r="A1" s="1"/>
      <c r="B1" s="2" t="s">
        <v>12</v>
      </c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</v>
      </c>
      <c r="B2" s="5"/>
      <c r="C2" s="6" t="s">
        <v>2</v>
      </c>
      <c r="D2" s="7"/>
      <c r="E2" s="8" t="s">
        <v>3</v>
      </c>
      <c r="F2" s="7"/>
      <c r="G2" s="9" t="s">
        <v>4</v>
      </c>
      <c r="H2" s="10"/>
      <c r="I2" s="8" t="s">
        <v>5</v>
      </c>
      <c r="J2" s="7"/>
      <c r="K2" s="8" t="s">
        <v>6</v>
      </c>
      <c r="L2" s="7"/>
      <c r="M2" s="8" t="s">
        <v>13</v>
      </c>
      <c r="N2" s="11"/>
      <c r="O2" s="12" t="s">
        <v>7</v>
      </c>
      <c r="P2" s="11"/>
      <c r="Q2" s="12" t="s">
        <v>8</v>
      </c>
      <c r="R2" s="13" t="s">
        <v>9</v>
      </c>
      <c r="S2" s="5"/>
      <c r="T2" s="5"/>
      <c r="U2" s="5"/>
      <c r="V2" s="5"/>
      <c r="W2" s="5"/>
      <c r="X2" s="5"/>
      <c r="Y2" s="5"/>
      <c r="Z2" s="5"/>
    </row>
    <row r="3" ht="17.25" customHeight="1">
      <c r="A3" s="39"/>
      <c r="B3" s="15"/>
      <c r="C3" s="40"/>
      <c r="D3" s="15"/>
      <c r="E3" s="41"/>
      <c r="F3" s="15"/>
      <c r="G3" s="41"/>
      <c r="H3" s="17"/>
      <c r="I3" s="41">
        <v>0.04</v>
      </c>
      <c r="J3" s="15"/>
      <c r="K3" s="41">
        <f>I3</f>
        <v>0.04</v>
      </c>
      <c r="L3" s="15"/>
      <c r="M3" s="41">
        <f>K3</f>
        <v>0.04</v>
      </c>
      <c r="N3" s="15"/>
      <c r="O3" s="18"/>
      <c r="P3" s="15"/>
      <c r="Q3" s="18"/>
      <c r="R3" s="19"/>
      <c r="S3" s="5"/>
      <c r="T3" s="5"/>
      <c r="U3" s="5"/>
      <c r="V3" s="5"/>
      <c r="W3" s="5"/>
      <c r="X3" s="5"/>
      <c r="Y3" s="5"/>
      <c r="Z3" s="5"/>
    </row>
    <row r="4" ht="14.25" customHeight="1">
      <c r="A4" s="42"/>
      <c r="B4" s="5"/>
      <c r="C4" s="20"/>
      <c r="D4" s="5"/>
      <c r="E4" s="21"/>
      <c r="F4" s="5"/>
      <c r="G4" s="21"/>
      <c r="H4" s="22"/>
      <c r="I4" s="23">
        <f>213000+220000</f>
        <v>433000</v>
      </c>
      <c r="J4" s="5"/>
      <c r="K4" s="23">
        <v>404000.0</v>
      </c>
      <c r="L4" s="5"/>
      <c r="M4" s="23">
        <v>300000.0</v>
      </c>
      <c r="N4" s="5"/>
      <c r="O4" s="20"/>
      <c r="P4" s="5"/>
      <c r="Q4" s="20"/>
      <c r="R4" s="24"/>
      <c r="S4" s="5"/>
      <c r="T4" s="5"/>
      <c r="U4" s="5"/>
      <c r="V4" s="5"/>
      <c r="W4" s="5"/>
      <c r="X4" s="5"/>
      <c r="Y4" s="5"/>
      <c r="Z4" s="5"/>
    </row>
    <row r="5" ht="21.0" customHeight="1">
      <c r="A5" s="42"/>
      <c r="B5" s="5"/>
      <c r="C5" s="20"/>
      <c r="D5" s="5"/>
      <c r="E5" s="25"/>
      <c r="F5" s="5"/>
      <c r="G5" s="25"/>
      <c r="H5" s="22"/>
      <c r="I5" s="23"/>
      <c r="J5" s="5"/>
      <c r="K5" s="23"/>
      <c r="L5" s="5"/>
      <c r="M5" s="23"/>
      <c r="N5" s="5"/>
      <c r="O5" s="20"/>
      <c r="P5" s="5"/>
      <c r="Q5" s="20"/>
      <c r="R5" s="24"/>
      <c r="S5" s="5"/>
      <c r="T5" s="5"/>
      <c r="U5" s="5"/>
      <c r="V5" s="5"/>
      <c r="W5" s="5"/>
      <c r="X5" s="5"/>
      <c r="Y5" s="5"/>
      <c r="Z5" s="5"/>
    </row>
    <row r="6" ht="14.25" customHeight="1">
      <c r="A6" s="42"/>
      <c r="B6" s="5"/>
      <c r="C6" s="20"/>
      <c r="D6" s="5"/>
      <c r="E6" s="23"/>
      <c r="F6" s="5"/>
      <c r="G6" s="23">
        <v>300000.0</v>
      </c>
      <c r="H6" s="26"/>
      <c r="I6" s="23" t="s">
        <v>14</v>
      </c>
      <c r="J6" s="5"/>
      <c r="K6" s="23" t="s">
        <v>15</v>
      </c>
      <c r="L6" s="5"/>
      <c r="M6" s="23"/>
      <c r="N6" s="5"/>
      <c r="O6" s="20"/>
      <c r="P6" s="5"/>
      <c r="Q6" s="20"/>
      <c r="R6" s="24"/>
      <c r="S6" s="5"/>
      <c r="T6" s="5"/>
      <c r="U6" s="5"/>
      <c r="V6" s="5"/>
      <c r="W6" s="5"/>
      <c r="X6" s="5"/>
      <c r="Y6" s="5"/>
      <c r="Z6" s="5"/>
    </row>
    <row r="7" ht="15.75" customHeight="1">
      <c r="A7" s="43">
        <v>60.0</v>
      </c>
      <c r="B7" s="27"/>
      <c r="C7" s="28">
        <v>72000.0</v>
      </c>
      <c r="D7" s="27"/>
      <c r="E7" s="29">
        <f>1900*12</f>
        <v>22800</v>
      </c>
      <c r="F7" s="27"/>
      <c r="G7" s="29"/>
      <c r="H7" s="27"/>
      <c r="I7" s="30"/>
      <c r="J7" s="27"/>
      <c r="K7" s="30"/>
      <c r="L7" s="27"/>
      <c r="M7" s="29"/>
      <c r="N7" s="27"/>
      <c r="O7" s="29">
        <f t="shared" ref="O7:O37" si="1">SUM(B7:N7)</f>
        <v>94800</v>
      </c>
      <c r="P7" s="27"/>
      <c r="Q7" s="29">
        <f t="shared" ref="Q7:Q37" si="2">O7/12</f>
        <v>7900</v>
      </c>
      <c r="R7" s="31">
        <f t="shared" ref="R7:R11" si="3">(C7+E7)/O7</f>
        <v>1</v>
      </c>
      <c r="S7" s="27"/>
      <c r="T7" s="3"/>
      <c r="U7" s="3"/>
      <c r="V7" s="3"/>
      <c r="W7" s="3"/>
      <c r="X7" s="3"/>
      <c r="Y7" s="3"/>
      <c r="Z7" s="3"/>
    </row>
    <row r="8" ht="15.75" customHeight="1">
      <c r="A8" s="43">
        <f t="shared" ref="A8:A37" si="4">A7+1</f>
        <v>61</v>
      </c>
      <c r="B8" s="27"/>
      <c r="C8" s="28">
        <v>72000.0</v>
      </c>
      <c r="D8" s="27"/>
      <c r="E8" s="29">
        <f t="shared" ref="E8:E11" si="5">E7</f>
        <v>22800</v>
      </c>
      <c r="F8" s="27"/>
      <c r="G8" s="29"/>
      <c r="H8" s="27"/>
      <c r="I8" s="29"/>
      <c r="J8" s="27"/>
      <c r="K8" s="29"/>
      <c r="L8" s="27"/>
      <c r="M8" s="29"/>
      <c r="N8" s="27"/>
      <c r="O8" s="29">
        <f t="shared" si="1"/>
        <v>94800</v>
      </c>
      <c r="P8" s="27"/>
      <c r="Q8" s="29">
        <f t="shared" si="2"/>
        <v>7900</v>
      </c>
      <c r="R8" s="31">
        <f t="shared" si="3"/>
        <v>1</v>
      </c>
      <c r="S8" s="27"/>
      <c r="T8" s="3"/>
      <c r="U8" s="3"/>
      <c r="V8" s="3"/>
      <c r="W8" s="3"/>
      <c r="X8" s="3"/>
      <c r="Y8" s="3"/>
      <c r="Z8" s="3"/>
    </row>
    <row r="9" ht="15.75" customHeight="1">
      <c r="A9" s="43">
        <f t="shared" si="4"/>
        <v>62</v>
      </c>
      <c r="B9" s="27"/>
      <c r="C9" s="28">
        <v>72000.0</v>
      </c>
      <c r="D9" s="27"/>
      <c r="E9" s="29">
        <f t="shared" si="5"/>
        <v>22800</v>
      </c>
      <c r="F9" s="27"/>
      <c r="G9" s="29"/>
      <c r="H9" s="27"/>
      <c r="I9" s="29"/>
      <c r="J9" s="27"/>
      <c r="K9" s="29"/>
      <c r="L9" s="27"/>
      <c r="M9" s="29"/>
      <c r="N9" s="27"/>
      <c r="O9" s="29">
        <f t="shared" si="1"/>
        <v>94800</v>
      </c>
      <c r="P9" s="27"/>
      <c r="Q9" s="29">
        <f t="shared" si="2"/>
        <v>7900</v>
      </c>
      <c r="R9" s="31">
        <f t="shared" si="3"/>
        <v>1</v>
      </c>
      <c r="S9" s="27"/>
      <c r="T9" s="3"/>
      <c r="U9" s="3"/>
      <c r="V9" s="3"/>
      <c r="W9" s="3"/>
      <c r="X9" s="3"/>
      <c r="Y9" s="3"/>
      <c r="Z9" s="3"/>
    </row>
    <row r="10" ht="15.75" customHeight="1">
      <c r="A10" s="43">
        <f t="shared" si="4"/>
        <v>63</v>
      </c>
      <c r="B10" s="27"/>
      <c r="C10" s="28">
        <v>72000.0</v>
      </c>
      <c r="D10" s="27"/>
      <c r="E10" s="29">
        <f t="shared" si="5"/>
        <v>22800</v>
      </c>
      <c r="F10" s="27"/>
      <c r="G10" s="29"/>
      <c r="H10" s="27"/>
      <c r="I10" s="29"/>
      <c r="J10" s="27"/>
      <c r="K10" s="29"/>
      <c r="L10" s="27"/>
      <c r="M10" s="29"/>
      <c r="N10" s="27"/>
      <c r="O10" s="29">
        <f t="shared" si="1"/>
        <v>94800</v>
      </c>
      <c r="P10" s="27"/>
      <c r="Q10" s="29">
        <f t="shared" si="2"/>
        <v>7900</v>
      </c>
      <c r="R10" s="31">
        <f t="shared" si="3"/>
        <v>1</v>
      </c>
      <c r="S10" s="27"/>
      <c r="T10" s="3"/>
      <c r="U10" s="3"/>
      <c r="V10" s="3"/>
      <c r="W10" s="3"/>
      <c r="X10" s="3"/>
      <c r="Y10" s="3"/>
      <c r="Z10" s="3"/>
    </row>
    <row r="11" ht="15.75" customHeight="1">
      <c r="A11" s="44">
        <f t="shared" si="4"/>
        <v>64</v>
      </c>
      <c r="B11" s="33"/>
      <c r="C11" s="32">
        <v>72000.0</v>
      </c>
      <c r="D11" s="33"/>
      <c r="E11" s="34">
        <f t="shared" si="5"/>
        <v>22800</v>
      </c>
      <c r="F11" s="33"/>
      <c r="G11" s="34"/>
      <c r="H11" s="33"/>
      <c r="I11" s="34"/>
      <c r="J11" s="33"/>
      <c r="K11" s="34"/>
      <c r="L11" s="33"/>
      <c r="M11" s="34"/>
      <c r="N11" s="33"/>
      <c r="O11" s="34">
        <f t="shared" si="1"/>
        <v>94800</v>
      </c>
      <c r="P11" s="33"/>
      <c r="Q11" s="34">
        <f t="shared" si="2"/>
        <v>7900</v>
      </c>
      <c r="R11" s="35">
        <f t="shared" si="3"/>
        <v>1</v>
      </c>
      <c r="S11" s="27"/>
      <c r="T11" s="3"/>
      <c r="U11" s="3"/>
      <c r="V11" s="3"/>
      <c r="W11" s="3"/>
      <c r="X11" s="3"/>
      <c r="Y11" s="3"/>
      <c r="Z11" s="3"/>
    </row>
    <row r="12" ht="15.75" customHeight="1">
      <c r="A12" s="45">
        <f t="shared" si="4"/>
        <v>65</v>
      </c>
      <c r="B12" s="46"/>
      <c r="C12" s="47">
        <f>2200*12</f>
        <v>26400</v>
      </c>
      <c r="D12" s="46"/>
      <c r="E12" s="47">
        <f>(E11)+626*12</f>
        <v>30312</v>
      </c>
      <c r="F12" s="46"/>
      <c r="G12" s="47"/>
      <c r="H12" s="46"/>
      <c r="I12" s="47">
        <f>506000*3%</f>
        <v>15180</v>
      </c>
      <c r="J12" s="46"/>
      <c r="K12" s="47">
        <f>515000*3%</f>
        <v>15450</v>
      </c>
      <c r="L12" s="46"/>
      <c r="M12" s="47">
        <v>26162.0</v>
      </c>
      <c r="N12" s="46"/>
      <c r="O12" s="47">
        <f t="shared" si="1"/>
        <v>113504</v>
      </c>
      <c r="P12" s="46"/>
      <c r="Q12" s="47">
        <f t="shared" si="2"/>
        <v>9458.666667</v>
      </c>
      <c r="R12" s="48">
        <f t="shared" ref="R12:R37" si="6">(C12+E12+M12)/O12</f>
        <v>0.730141669</v>
      </c>
      <c r="S12" s="27"/>
      <c r="T12" s="3"/>
      <c r="U12" s="3"/>
      <c r="V12" s="3"/>
      <c r="W12" s="3"/>
      <c r="X12" s="3"/>
      <c r="Y12" s="3"/>
      <c r="Z12" s="3"/>
    </row>
    <row r="13" ht="14.25" customHeight="1">
      <c r="A13" s="43">
        <f t="shared" si="4"/>
        <v>66</v>
      </c>
      <c r="B13" s="27"/>
      <c r="C13" s="29">
        <f t="shared" ref="C13:C37" si="7">C12*1.02</f>
        <v>26928</v>
      </c>
      <c r="D13" s="27"/>
      <c r="E13" s="29">
        <f t="shared" ref="E13:E37" si="8">E12</f>
        <v>30312</v>
      </c>
      <c r="F13" s="27"/>
      <c r="G13" s="29"/>
      <c r="H13" s="27"/>
      <c r="I13" s="29">
        <f t="shared" ref="I13:I37" si="9">I12*1.02</f>
        <v>15483.6</v>
      </c>
      <c r="J13" s="27"/>
      <c r="K13" s="29">
        <f t="shared" ref="K13:K37" si="10">K12*1.02</f>
        <v>15759</v>
      </c>
      <c r="L13" s="27"/>
      <c r="M13" s="29">
        <v>26162.0</v>
      </c>
      <c r="N13" s="27"/>
      <c r="O13" s="29">
        <f t="shared" si="1"/>
        <v>114644.6</v>
      </c>
      <c r="P13" s="27"/>
      <c r="Q13" s="29">
        <f t="shared" si="2"/>
        <v>9553.716667</v>
      </c>
      <c r="R13" s="31">
        <f t="shared" si="6"/>
        <v>0.7274830214</v>
      </c>
      <c r="S13" s="3"/>
      <c r="T13" s="3"/>
      <c r="U13" s="3"/>
      <c r="V13" s="3"/>
      <c r="W13" s="3"/>
      <c r="X13" s="3"/>
      <c r="Y13" s="3"/>
      <c r="Z13" s="3"/>
    </row>
    <row r="14" ht="14.25" customHeight="1">
      <c r="A14" s="43">
        <f t="shared" si="4"/>
        <v>67</v>
      </c>
      <c r="B14" s="27"/>
      <c r="C14" s="29">
        <f t="shared" si="7"/>
        <v>27466.56</v>
      </c>
      <c r="D14" s="27"/>
      <c r="E14" s="29">
        <f t="shared" si="8"/>
        <v>30312</v>
      </c>
      <c r="F14" s="27"/>
      <c r="G14" s="29"/>
      <c r="H14" s="27"/>
      <c r="I14" s="29">
        <f t="shared" si="9"/>
        <v>15793.272</v>
      </c>
      <c r="J14" s="27"/>
      <c r="K14" s="29">
        <f t="shared" si="10"/>
        <v>16074.18</v>
      </c>
      <c r="L14" s="27"/>
      <c r="M14" s="29">
        <v>26162.0</v>
      </c>
      <c r="N14" s="27"/>
      <c r="O14" s="29">
        <f t="shared" si="1"/>
        <v>115808.012</v>
      </c>
      <c r="P14" s="27"/>
      <c r="Q14" s="29">
        <f t="shared" si="2"/>
        <v>9650.667667</v>
      </c>
      <c r="R14" s="31">
        <f t="shared" si="6"/>
        <v>0.7248251529</v>
      </c>
      <c r="S14" s="3"/>
      <c r="T14" s="3"/>
      <c r="U14" s="3"/>
      <c r="V14" s="3"/>
      <c r="W14" s="3"/>
      <c r="X14" s="3"/>
      <c r="Y14" s="3"/>
      <c r="Z14" s="3"/>
    </row>
    <row r="15" ht="14.25" customHeight="1">
      <c r="A15" s="43">
        <f t="shared" si="4"/>
        <v>68</v>
      </c>
      <c r="B15" s="27"/>
      <c r="C15" s="29">
        <f t="shared" si="7"/>
        <v>28015.8912</v>
      </c>
      <c r="D15" s="27"/>
      <c r="E15" s="29">
        <f t="shared" si="8"/>
        <v>30312</v>
      </c>
      <c r="F15" s="27"/>
      <c r="G15" s="29"/>
      <c r="H15" s="27"/>
      <c r="I15" s="29">
        <f t="shared" si="9"/>
        <v>16109.13744</v>
      </c>
      <c r="J15" s="27"/>
      <c r="K15" s="29">
        <f t="shared" si="10"/>
        <v>16395.6636</v>
      </c>
      <c r="L15" s="27"/>
      <c r="M15" s="29">
        <v>26162.0</v>
      </c>
      <c r="N15" s="27"/>
      <c r="O15" s="29">
        <f t="shared" si="1"/>
        <v>116994.6922</v>
      </c>
      <c r="P15" s="27"/>
      <c r="Q15" s="29">
        <f t="shared" si="2"/>
        <v>9749.557687</v>
      </c>
      <c r="R15" s="31">
        <f t="shared" si="6"/>
        <v>0.7221685837</v>
      </c>
      <c r="S15" s="3"/>
      <c r="T15" s="3"/>
      <c r="U15" s="3"/>
      <c r="V15" s="3"/>
      <c r="W15" s="3"/>
      <c r="X15" s="3"/>
      <c r="Y15" s="3"/>
      <c r="Z15" s="3"/>
    </row>
    <row r="16" ht="14.25" customHeight="1">
      <c r="A16" s="43">
        <f t="shared" si="4"/>
        <v>69</v>
      </c>
      <c r="B16" s="27"/>
      <c r="C16" s="29">
        <f t="shared" si="7"/>
        <v>28576.20902</v>
      </c>
      <c r="D16" s="27"/>
      <c r="E16" s="29">
        <f t="shared" si="8"/>
        <v>30312</v>
      </c>
      <c r="F16" s="27"/>
      <c r="G16" s="29"/>
      <c r="H16" s="27"/>
      <c r="I16" s="29">
        <f t="shared" si="9"/>
        <v>16431.32019</v>
      </c>
      <c r="J16" s="27"/>
      <c r="K16" s="29">
        <f t="shared" si="10"/>
        <v>16723.57687</v>
      </c>
      <c r="L16" s="27"/>
      <c r="M16" s="29">
        <v>26162.0</v>
      </c>
      <c r="N16" s="27"/>
      <c r="O16" s="29">
        <f t="shared" si="1"/>
        <v>118205.1061</v>
      </c>
      <c r="P16" s="27"/>
      <c r="Q16" s="29">
        <f t="shared" si="2"/>
        <v>9850.425507</v>
      </c>
      <c r="R16" s="31">
        <f t="shared" si="6"/>
        <v>0.7195138335</v>
      </c>
      <c r="S16" s="3"/>
      <c r="T16" s="3"/>
      <c r="U16" s="3"/>
      <c r="V16" s="3"/>
      <c r="W16" s="3"/>
      <c r="X16" s="3"/>
      <c r="Y16" s="3"/>
      <c r="Z16" s="3"/>
    </row>
    <row r="17" ht="14.25" customHeight="1">
      <c r="A17" s="43">
        <f t="shared" si="4"/>
        <v>70</v>
      </c>
      <c r="B17" s="27"/>
      <c r="C17" s="29">
        <f t="shared" si="7"/>
        <v>29147.7332</v>
      </c>
      <c r="D17" s="27"/>
      <c r="E17" s="29">
        <f t="shared" si="8"/>
        <v>30312</v>
      </c>
      <c r="F17" s="27"/>
      <c r="G17" s="29"/>
      <c r="H17" s="27"/>
      <c r="I17" s="29">
        <f t="shared" si="9"/>
        <v>16759.94659</v>
      </c>
      <c r="J17" s="27"/>
      <c r="K17" s="29">
        <f t="shared" si="10"/>
        <v>17058.04841</v>
      </c>
      <c r="L17" s="27"/>
      <c r="M17" s="29">
        <v>26162.0</v>
      </c>
      <c r="N17" s="27"/>
      <c r="O17" s="29">
        <f t="shared" si="1"/>
        <v>119439.7282</v>
      </c>
      <c r="P17" s="27"/>
      <c r="Q17" s="29">
        <f t="shared" si="2"/>
        <v>9953.310684</v>
      </c>
      <c r="R17" s="31">
        <f t="shared" si="6"/>
        <v>0.7168614203</v>
      </c>
      <c r="S17" s="3"/>
      <c r="T17" s="3"/>
      <c r="U17" s="3"/>
      <c r="V17" s="3"/>
      <c r="W17" s="3"/>
      <c r="X17" s="3"/>
      <c r="Y17" s="3"/>
      <c r="Z17" s="3"/>
    </row>
    <row r="18" ht="14.25" customHeight="1">
      <c r="A18" s="43">
        <f t="shared" si="4"/>
        <v>71</v>
      </c>
      <c r="B18" s="27"/>
      <c r="C18" s="29">
        <f t="shared" si="7"/>
        <v>29730.68787</v>
      </c>
      <c r="D18" s="27"/>
      <c r="E18" s="29">
        <f t="shared" si="8"/>
        <v>30312</v>
      </c>
      <c r="F18" s="27"/>
      <c r="G18" s="29"/>
      <c r="H18" s="27"/>
      <c r="I18" s="29">
        <f t="shared" si="9"/>
        <v>17095.14552</v>
      </c>
      <c r="J18" s="27"/>
      <c r="K18" s="29">
        <f t="shared" si="10"/>
        <v>17399.20938</v>
      </c>
      <c r="L18" s="27"/>
      <c r="M18" s="29">
        <v>26162.0</v>
      </c>
      <c r="N18" s="36"/>
      <c r="O18" s="29">
        <f t="shared" si="1"/>
        <v>120699.0428</v>
      </c>
      <c r="P18" s="36"/>
      <c r="Q18" s="29">
        <f t="shared" si="2"/>
        <v>10058.25356</v>
      </c>
      <c r="R18" s="31">
        <f t="shared" si="6"/>
        <v>0.7142118603</v>
      </c>
      <c r="S18" s="3"/>
      <c r="T18" s="3"/>
      <c r="U18" s="3"/>
      <c r="V18" s="3"/>
      <c r="W18" s="3"/>
      <c r="X18" s="3"/>
      <c r="Y18" s="3"/>
      <c r="Z18" s="3"/>
    </row>
    <row r="19" ht="14.25" customHeight="1">
      <c r="A19" s="43">
        <f t="shared" si="4"/>
        <v>72</v>
      </c>
      <c r="B19" s="27"/>
      <c r="C19" s="29">
        <f t="shared" si="7"/>
        <v>30325.30163</v>
      </c>
      <c r="D19" s="27"/>
      <c r="E19" s="29">
        <f t="shared" si="8"/>
        <v>30312</v>
      </c>
      <c r="F19" s="27"/>
      <c r="G19" s="29"/>
      <c r="H19" s="27"/>
      <c r="I19" s="29">
        <f t="shared" si="9"/>
        <v>17437.04843</v>
      </c>
      <c r="J19" s="27"/>
      <c r="K19" s="29">
        <f t="shared" si="10"/>
        <v>17747.19357</v>
      </c>
      <c r="L19" s="27"/>
      <c r="M19" s="29">
        <v>26162.0</v>
      </c>
      <c r="N19" s="36"/>
      <c r="O19" s="29">
        <f t="shared" si="1"/>
        <v>121983.5436</v>
      </c>
      <c r="P19" s="36"/>
      <c r="Q19" s="29">
        <f t="shared" si="2"/>
        <v>10165.2953</v>
      </c>
      <c r="R19" s="31">
        <f t="shared" si="6"/>
        <v>0.7115656673</v>
      </c>
      <c r="S19" s="3"/>
      <c r="T19" s="3"/>
      <c r="U19" s="3"/>
      <c r="V19" s="3"/>
      <c r="W19" s="3"/>
      <c r="X19" s="3"/>
      <c r="Y19" s="3"/>
      <c r="Z19" s="3"/>
    </row>
    <row r="20" ht="14.25" customHeight="1">
      <c r="A20" s="43">
        <f t="shared" si="4"/>
        <v>73</v>
      </c>
      <c r="B20" s="27"/>
      <c r="C20" s="29">
        <f t="shared" si="7"/>
        <v>30931.80766</v>
      </c>
      <c r="D20" s="27"/>
      <c r="E20" s="29">
        <f t="shared" si="8"/>
        <v>30312</v>
      </c>
      <c r="F20" s="27"/>
      <c r="G20" s="29"/>
      <c r="H20" s="27"/>
      <c r="I20" s="29">
        <f t="shared" si="9"/>
        <v>17785.7894</v>
      </c>
      <c r="J20" s="27"/>
      <c r="K20" s="29">
        <f t="shared" si="10"/>
        <v>18102.13744</v>
      </c>
      <c r="L20" s="27"/>
      <c r="M20" s="29">
        <v>26162.0</v>
      </c>
      <c r="N20" s="36"/>
      <c r="O20" s="29">
        <f t="shared" si="1"/>
        <v>123293.7345</v>
      </c>
      <c r="P20" s="36"/>
      <c r="Q20" s="29">
        <f t="shared" si="2"/>
        <v>10274.47787</v>
      </c>
      <c r="R20" s="31">
        <f t="shared" si="6"/>
        <v>0.708923353</v>
      </c>
      <c r="S20" s="3"/>
      <c r="T20" s="3"/>
      <c r="U20" s="3"/>
      <c r="V20" s="3"/>
      <c r="W20" s="3"/>
      <c r="X20" s="3"/>
      <c r="Y20" s="3"/>
      <c r="Z20" s="3"/>
    </row>
    <row r="21" ht="14.25" customHeight="1">
      <c r="A21" s="43">
        <f t="shared" si="4"/>
        <v>74</v>
      </c>
      <c r="B21" s="27"/>
      <c r="C21" s="29">
        <f t="shared" si="7"/>
        <v>31550.44381</v>
      </c>
      <c r="D21" s="27"/>
      <c r="E21" s="29">
        <f t="shared" si="8"/>
        <v>30312</v>
      </c>
      <c r="F21" s="27"/>
      <c r="G21" s="29"/>
      <c r="H21" s="27"/>
      <c r="I21" s="29">
        <f t="shared" si="9"/>
        <v>18141.50519</v>
      </c>
      <c r="J21" s="27"/>
      <c r="K21" s="29">
        <f t="shared" si="10"/>
        <v>18464.18019</v>
      </c>
      <c r="L21" s="27"/>
      <c r="M21" s="29">
        <v>26162.0</v>
      </c>
      <c r="N21" s="36"/>
      <c r="O21" s="29">
        <f t="shared" si="1"/>
        <v>124630.1292</v>
      </c>
      <c r="P21" s="36"/>
      <c r="Q21" s="29">
        <f t="shared" si="2"/>
        <v>10385.8441</v>
      </c>
      <c r="R21" s="31">
        <f t="shared" si="6"/>
        <v>0.7062854254</v>
      </c>
      <c r="S21" s="3"/>
      <c r="T21" s="3"/>
      <c r="U21" s="3"/>
      <c r="V21" s="3"/>
      <c r="W21" s="3"/>
      <c r="X21" s="3"/>
      <c r="Y21" s="3"/>
      <c r="Z21" s="3"/>
    </row>
    <row r="22" ht="14.25" customHeight="1">
      <c r="A22" s="43">
        <f t="shared" si="4"/>
        <v>75</v>
      </c>
      <c r="B22" s="27"/>
      <c r="C22" s="29">
        <f t="shared" si="7"/>
        <v>32181.45269</v>
      </c>
      <c r="D22" s="27"/>
      <c r="E22" s="29">
        <f t="shared" si="8"/>
        <v>30312</v>
      </c>
      <c r="F22" s="27"/>
      <c r="G22" s="29"/>
      <c r="H22" s="27"/>
      <c r="I22" s="29">
        <f t="shared" si="9"/>
        <v>18504.3353</v>
      </c>
      <c r="J22" s="27"/>
      <c r="K22" s="29">
        <f t="shared" si="10"/>
        <v>18833.46379</v>
      </c>
      <c r="L22" s="27"/>
      <c r="M22" s="29">
        <v>26162.0</v>
      </c>
      <c r="N22" s="36"/>
      <c r="O22" s="29">
        <f t="shared" si="1"/>
        <v>125993.2518</v>
      </c>
      <c r="P22" s="36"/>
      <c r="Q22" s="29">
        <f t="shared" si="2"/>
        <v>10499.43765</v>
      </c>
      <c r="R22" s="31">
        <f t="shared" si="6"/>
        <v>0.7036523896</v>
      </c>
      <c r="S22" s="3"/>
      <c r="T22" s="3"/>
      <c r="U22" s="3"/>
      <c r="V22" s="3"/>
      <c r="W22" s="3"/>
      <c r="X22" s="3"/>
      <c r="Y22" s="3"/>
      <c r="Z22" s="3"/>
    </row>
    <row r="23" ht="14.25" customHeight="1">
      <c r="A23" s="43">
        <f t="shared" si="4"/>
        <v>76</v>
      </c>
      <c r="B23" s="27"/>
      <c r="C23" s="29">
        <f t="shared" si="7"/>
        <v>32825.08174</v>
      </c>
      <c r="D23" s="27"/>
      <c r="E23" s="29">
        <f t="shared" si="8"/>
        <v>30312</v>
      </c>
      <c r="F23" s="27"/>
      <c r="G23" s="29"/>
      <c r="H23" s="27"/>
      <c r="I23" s="29">
        <f t="shared" si="9"/>
        <v>18874.422</v>
      </c>
      <c r="J23" s="27"/>
      <c r="K23" s="29">
        <f t="shared" si="10"/>
        <v>19210.13306</v>
      </c>
      <c r="L23" s="27"/>
      <c r="M23" s="29">
        <v>26162.0</v>
      </c>
      <c r="N23" s="27"/>
      <c r="O23" s="29">
        <f t="shared" si="1"/>
        <v>127383.6368</v>
      </c>
      <c r="P23" s="27"/>
      <c r="Q23" s="29">
        <f t="shared" si="2"/>
        <v>10615.30307</v>
      </c>
      <c r="R23" s="31">
        <f t="shared" si="6"/>
        <v>0.7010247468</v>
      </c>
      <c r="S23" s="3"/>
      <c r="T23" s="3"/>
      <c r="U23" s="3"/>
      <c r="V23" s="3"/>
      <c r="W23" s="3"/>
      <c r="X23" s="3"/>
      <c r="Y23" s="3"/>
      <c r="Z23" s="3"/>
    </row>
    <row r="24" ht="14.25" customHeight="1">
      <c r="A24" s="43">
        <f t="shared" si="4"/>
        <v>77</v>
      </c>
      <c r="B24" s="27"/>
      <c r="C24" s="29">
        <f t="shared" si="7"/>
        <v>33481.58338</v>
      </c>
      <c r="D24" s="27"/>
      <c r="E24" s="29">
        <f t="shared" si="8"/>
        <v>30312</v>
      </c>
      <c r="F24" s="27"/>
      <c r="G24" s="29"/>
      <c r="H24" s="27"/>
      <c r="I24" s="29">
        <f t="shared" si="9"/>
        <v>19251.91044</v>
      </c>
      <c r="J24" s="27"/>
      <c r="K24" s="29">
        <f t="shared" si="10"/>
        <v>19594.33573</v>
      </c>
      <c r="L24" s="27"/>
      <c r="M24" s="29">
        <v>26162.0</v>
      </c>
      <c r="N24" s="27"/>
      <c r="O24" s="29">
        <f t="shared" si="1"/>
        <v>128801.8295</v>
      </c>
      <c r="P24" s="27"/>
      <c r="Q24" s="29">
        <f t="shared" si="2"/>
        <v>10733.4858</v>
      </c>
      <c r="R24" s="31">
        <f t="shared" si="6"/>
        <v>0.6984029939</v>
      </c>
      <c r="S24" s="3"/>
      <c r="T24" s="3"/>
      <c r="U24" s="3"/>
      <c r="V24" s="3"/>
      <c r="W24" s="3"/>
      <c r="X24" s="3"/>
      <c r="Y24" s="3"/>
      <c r="Z24" s="3"/>
    </row>
    <row r="25" ht="14.25" customHeight="1">
      <c r="A25" s="43">
        <f t="shared" si="4"/>
        <v>78</v>
      </c>
      <c r="B25" s="27"/>
      <c r="C25" s="29">
        <f t="shared" si="7"/>
        <v>34151.21504</v>
      </c>
      <c r="D25" s="27"/>
      <c r="E25" s="29">
        <f t="shared" si="8"/>
        <v>30312</v>
      </c>
      <c r="F25" s="27"/>
      <c r="G25" s="29"/>
      <c r="H25" s="27"/>
      <c r="I25" s="29">
        <f t="shared" si="9"/>
        <v>19636.94865</v>
      </c>
      <c r="J25" s="27"/>
      <c r="K25" s="29">
        <f t="shared" si="10"/>
        <v>19986.22244</v>
      </c>
      <c r="L25" s="27"/>
      <c r="M25" s="29">
        <v>26162.0</v>
      </c>
      <c r="N25" s="27"/>
      <c r="O25" s="29">
        <f t="shared" si="1"/>
        <v>130248.3861</v>
      </c>
      <c r="P25" s="27"/>
      <c r="Q25" s="29">
        <f t="shared" si="2"/>
        <v>10854.03218</v>
      </c>
      <c r="R25" s="31">
        <f t="shared" si="6"/>
        <v>0.6957876234</v>
      </c>
      <c r="S25" s="3"/>
      <c r="T25" s="3"/>
      <c r="U25" s="3"/>
      <c r="V25" s="3"/>
      <c r="W25" s="3"/>
      <c r="X25" s="3"/>
      <c r="Y25" s="3"/>
      <c r="Z25" s="3"/>
    </row>
    <row r="26" ht="14.25" customHeight="1">
      <c r="A26" s="43">
        <f t="shared" si="4"/>
        <v>79</v>
      </c>
      <c r="B26" s="27"/>
      <c r="C26" s="29">
        <f t="shared" si="7"/>
        <v>34834.23934</v>
      </c>
      <c r="D26" s="27"/>
      <c r="E26" s="29">
        <f t="shared" si="8"/>
        <v>30312</v>
      </c>
      <c r="F26" s="27"/>
      <c r="G26" s="29"/>
      <c r="H26" s="27"/>
      <c r="I26" s="29">
        <f t="shared" si="9"/>
        <v>20029.68762</v>
      </c>
      <c r="J26" s="27"/>
      <c r="K26" s="29">
        <f t="shared" si="10"/>
        <v>20385.94689</v>
      </c>
      <c r="L26" s="27"/>
      <c r="M26" s="29">
        <v>26162.0</v>
      </c>
      <c r="N26" s="27"/>
      <c r="O26" s="29">
        <f t="shared" si="1"/>
        <v>131723.8739</v>
      </c>
      <c r="P26" s="27"/>
      <c r="Q26" s="29">
        <f t="shared" si="2"/>
        <v>10976.98949</v>
      </c>
      <c r="R26" s="31">
        <f t="shared" si="6"/>
        <v>0.6931791229</v>
      </c>
      <c r="S26" s="3"/>
      <c r="T26" s="3"/>
      <c r="U26" s="3"/>
      <c r="V26" s="3"/>
      <c r="W26" s="3"/>
      <c r="X26" s="3"/>
      <c r="Y26" s="3"/>
      <c r="Z26" s="3"/>
    </row>
    <row r="27" ht="15.75" customHeight="1">
      <c r="A27" s="43">
        <f t="shared" si="4"/>
        <v>80</v>
      </c>
      <c r="B27" s="27"/>
      <c r="C27" s="29">
        <f t="shared" si="7"/>
        <v>35530.92413</v>
      </c>
      <c r="D27" s="27"/>
      <c r="E27" s="29">
        <f t="shared" si="8"/>
        <v>30312</v>
      </c>
      <c r="F27" s="27"/>
      <c r="G27" s="29"/>
      <c r="H27" s="27"/>
      <c r="I27" s="29">
        <f t="shared" si="9"/>
        <v>20430.28138</v>
      </c>
      <c r="J27" s="27"/>
      <c r="K27" s="29">
        <f t="shared" si="10"/>
        <v>20793.66583</v>
      </c>
      <c r="L27" s="27"/>
      <c r="M27" s="29">
        <v>26162.0</v>
      </c>
      <c r="N27" s="27"/>
      <c r="O27" s="29">
        <f t="shared" si="1"/>
        <v>133228.8713</v>
      </c>
      <c r="P27" s="27"/>
      <c r="Q27" s="29">
        <f t="shared" si="2"/>
        <v>11102.40594</v>
      </c>
      <c r="R27" s="31">
        <f t="shared" si="6"/>
        <v>0.6905779747</v>
      </c>
      <c r="S27" s="3"/>
      <c r="T27" s="3"/>
      <c r="U27" s="3"/>
      <c r="V27" s="3"/>
      <c r="W27" s="3"/>
      <c r="X27" s="3"/>
      <c r="Y27" s="3"/>
      <c r="Z27" s="3"/>
    </row>
    <row r="28" ht="14.25" customHeight="1">
      <c r="A28" s="43">
        <f t="shared" si="4"/>
        <v>81</v>
      </c>
      <c r="B28" s="27"/>
      <c r="C28" s="29">
        <f t="shared" si="7"/>
        <v>36241.54261</v>
      </c>
      <c r="D28" s="27"/>
      <c r="E28" s="29">
        <f t="shared" si="8"/>
        <v>30312</v>
      </c>
      <c r="F28" s="27"/>
      <c r="G28" s="29"/>
      <c r="H28" s="27"/>
      <c r="I28" s="29">
        <f t="shared" si="9"/>
        <v>20838.887</v>
      </c>
      <c r="J28" s="27"/>
      <c r="K28" s="29">
        <f t="shared" si="10"/>
        <v>21209.53914</v>
      </c>
      <c r="L28" s="27"/>
      <c r="M28" s="29">
        <v>26162.0</v>
      </c>
      <c r="N28" s="27"/>
      <c r="O28" s="29">
        <f t="shared" si="1"/>
        <v>134763.9688</v>
      </c>
      <c r="P28" s="27"/>
      <c r="Q28" s="29">
        <f t="shared" si="2"/>
        <v>11230.33073</v>
      </c>
      <c r="R28" s="31">
        <f t="shared" si="6"/>
        <v>0.6879846554</v>
      </c>
      <c r="S28" s="3"/>
      <c r="T28" s="3"/>
      <c r="U28" s="3"/>
      <c r="V28" s="3"/>
      <c r="W28" s="3"/>
      <c r="X28" s="3"/>
      <c r="Y28" s="3"/>
      <c r="Z28" s="3"/>
    </row>
    <row r="29" ht="14.25" customHeight="1">
      <c r="A29" s="43">
        <f t="shared" si="4"/>
        <v>82</v>
      </c>
      <c r="B29" s="27"/>
      <c r="C29" s="29">
        <f t="shared" si="7"/>
        <v>36966.37347</v>
      </c>
      <c r="D29" s="27"/>
      <c r="E29" s="29">
        <f t="shared" si="8"/>
        <v>30312</v>
      </c>
      <c r="F29" s="27"/>
      <c r="G29" s="29"/>
      <c r="H29" s="27"/>
      <c r="I29" s="29">
        <f t="shared" si="9"/>
        <v>21255.66474</v>
      </c>
      <c r="J29" s="27"/>
      <c r="K29" s="29">
        <f t="shared" si="10"/>
        <v>21633.72993</v>
      </c>
      <c r="L29" s="27"/>
      <c r="M29" s="29">
        <v>26162.0</v>
      </c>
      <c r="N29" s="27"/>
      <c r="O29" s="29">
        <f t="shared" si="1"/>
        <v>136329.7681</v>
      </c>
      <c r="P29" s="27"/>
      <c r="Q29" s="29">
        <f t="shared" si="2"/>
        <v>11360.81401</v>
      </c>
      <c r="R29" s="31">
        <f t="shared" si="6"/>
        <v>0.6853996361</v>
      </c>
      <c r="S29" s="3"/>
      <c r="T29" s="3"/>
      <c r="U29" s="3"/>
      <c r="V29" s="3"/>
      <c r="W29" s="3"/>
      <c r="X29" s="3"/>
      <c r="Y29" s="3"/>
      <c r="Z29" s="3"/>
    </row>
    <row r="30" ht="14.25" customHeight="1">
      <c r="A30" s="43">
        <f t="shared" si="4"/>
        <v>83</v>
      </c>
      <c r="B30" s="27"/>
      <c r="C30" s="29">
        <f t="shared" si="7"/>
        <v>37705.70094</v>
      </c>
      <c r="D30" s="27"/>
      <c r="E30" s="29">
        <f t="shared" si="8"/>
        <v>30312</v>
      </c>
      <c r="F30" s="27"/>
      <c r="G30" s="29"/>
      <c r="H30" s="27"/>
      <c r="I30" s="29">
        <f t="shared" si="9"/>
        <v>21680.77804</v>
      </c>
      <c r="J30" s="27"/>
      <c r="K30" s="29">
        <f t="shared" si="10"/>
        <v>22066.40453</v>
      </c>
      <c r="L30" s="27"/>
      <c r="M30" s="29">
        <v>26162.0</v>
      </c>
      <c r="N30" s="27"/>
      <c r="O30" s="29">
        <f t="shared" si="1"/>
        <v>137926.8835</v>
      </c>
      <c r="P30" s="27"/>
      <c r="Q30" s="29">
        <f t="shared" si="2"/>
        <v>11493.90696</v>
      </c>
      <c r="R30" s="31">
        <f t="shared" si="6"/>
        <v>0.6828233811</v>
      </c>
      <c r="S30" s="3"/>
      <c r="T30" s="3"/>
      <c r="U30" s="3"/>
      <c r="V30" s="3"/>
      <c r="W30" s="3"/>
      <c r="X30" s="3"/>
      <c r="Y30" s="3"/>
      <c r="Z30" s="3"/>
    </row>
    <row r="31" ht="14.25" customHeight="1">
      <c r="A31" s="43">
        <f t="shared" si="4"/>
        <v>84</v>
      </c>
      <c r="B31" s="27"/>
      <c r="C31" s="29">
        <f t="shared" si="7"/>
        <v>38459.81495</v>
      </c>
      <c r="D31" s="27"/>
      <c r="E31" s="29">
        <f t="shared" si="8"/>
        <v>30312</v>
      </c>
      <c r="F31" s="27"/>
      <c r="G31" s="29"/>
      <c r="H31" s="27"/>
      <c r="I31" s="29">
        <f t="shared" si="9"/>
        <v>22114.3936</v>
      </c>
      <c r="J31" s="27"/>
      <c r="K31" s="29">
        <f t="shared" si="10"/>
        <v>22507.73262</v>
      </c>
      <c r="L31" s="27"/>
      <c r="M31" s="29">
        <v>26162.0</v>
      </c>
      <c r="N31" s="27"/>
      <c r="O31" s="29">
        <f t="shared" si="1"/>
        <v>139555.9412</v>
      </c>
      <c r="P31" s="27"/>
      <c r="Q31" s="29">
        <f t="shared" si="2"/>
        <v>11629.66176</v>
      </c>
      <c r="R31" s="31">
        <f t="shared" si="6"/>
        <v>0.6802563485</v>
      </c>
      <c r="S31" s="3"/>
      <c r="T31" s="3"/>
      <c r="U31" s="3"/>
      <c r="V31" s="3"/>
      <c r="W31" s="3"/>
      <c r="X31" s="3"/>
      <c r="Y31" s="3"/>
      <c r="Z31" s="3"/>
    </row>
    <row r="32" ht="14.25" customHeight="1">
      <c r="A32" s="43">
        <f t="shared" si="4"/>
        <v>85</v>
      </c>
      <c r="B32" s="27"/>
      <c r="C32" s="29">
        <f t="shared" si="7"/>
        <v>39229.01125</v>
      </c>
      <c r="D32" s="27"/>
      <c r="E32" s="29">
        <f t="shared" si="8"/>
        <v>30312</v>
      </c>
      <c r="F32" s="27"/>
      <c r="G32" s="29"/>
      <c r="H32" s="27"/>
      <c r="I32" s="29">
        <f t="shared" si="9"/>
        <v>22556.68147</v>
      </c>
      <c r="J32" s="27"/>
      <c r="K32" s="29">
        <f t="shared" si="10"/>
        <v>22957.88727</v>
      </c>
      <c r="L32" s="27"/>
      <c r="M32" s="29">
        <v>26162.0</v>
      </c>
      <c r="N32" s="27"/>
      <c r="O32" s="29">
        <f t="shared" si="1"/>
        <v>141217.58</v>
      </c>
      <c r="P32" s="27"/>
      <c r="Q32" s="29">
        <f t="shared" si="2"/>
        <v>11768.13167</v>
      </c>
      <c r="R32" s="31">
        <f t="shared" si="6"/>
        <v>0.6776989895</v>
      </c>
      <c r="S32" s="3"/>
      <c r="T32" s="3"/>
      <c r="U32" s="3"/>
      <c r="V32" s="3"/>
      <c r="W32" s="3"/>
      <c r="X32" s="3"/>
      <c r="Y32" s="3"/>
      <c r="Z32" s="3"/>
    </row>
    <row r="33" ht="14.25" customHeight="1">
      <c r="A33" s="43">
        <f t="shared" si="4"/>
        <v>86</v>
      </c>
      <c r="B33" s="27"/>
      <c r="C33" s="29">
        <f t="shared" si="7"/>
        <v>40013.59148</v>
      </c>
      <c r="D33" s="27"/>
      <c r="E33" s="29">
        <f t="shared" si="8"/>
        <v>30312</v>
      </c>
      <c r="F33" s="27"/>
      <c r="G33" s="29"/>
      <c r="H33" s="27"/>
      <c r="I33" s="29">
        <f t="shared" si="9"/>
        <v>23007.8151</v>
      </c>
      <c r="J33" s="27"/>
      <c r="K33" s="29">
        <f t="shared" si="10"/>
        <v>23417.04501</v>
      </c>
      <c r="L33" s="27"/>
      <c r="M33" s="29">
        <v>26162.0</v>
      </c>
      <c r="N33" s="27"/>
      <c r="O33" s="29">
        <f t="shared" si="1"/>
        <v>142912.4516</v>
      </c>
      <c r="P33" s="27"/>
      <c r="Q33" s="29">
        <f t="shared" si="2"/>
        <v>11909.37097</v>
      </c>
      <c r="R33" s="31">
        <f t="shared" si="6"/>
        <v>0.6751517478</v>
      </c>
      <c r="S33" s="3"/>
      <c r="T33" s="3"/>
      <c r="U33" s="3"/>
      <c r="V33" s="3"/>
      <c r="W33" s="3"/>
      <c r="X33" s="3"/>
      <c r="Y33" s="3"/>
      <c r="Z33" s="3"/>
    </row>
    <row r="34" ht="14.25" customHeight="1">
      <c r="A34" s="43">
        <f t="shared" si="4"/>
        <v>87</v>
      </c>
      <c r="B34" s="27"/>
      <c r="C34" s="29">
        <f t="shared" si="7"/>
        <v>40813.86331</v>
      </c>
      <c r="D34" s="27"/>
      <c r="E34" s="29">
        <f t="shared" si="8"/>
        <v>30312</v>
      </c>
      <c r="F34" s="27"/>
      <c r="G34" s="29"/>
      <c r="H34" s="27"/>
      <c r="I34" s="29">
        <f t="shared" si="9"/>
        <v>23467.9714</v>
      </c>
      <c r="J34" s="27"/>
      <c r="K34" s="29">
        <f t="shared" si="10"/>
        <v>23885.38591</v>
      </c>
      <c r="L34" s="27"/>
      <c r="M34" s="29">
        <v>26162.0</v>
      </c>
      <c r="N34" s="27"/>
      <c r="O34" s="29">
        <f t="shared" si="1"/>
        <v>144641.2206</v>
      </c>
      <c r="P34" s="27"/>
      <c r="Q34" s="29">
        <f t="shared" si="2"/>
        <v>12053.43505</v>
      </c>
      <c r="R34" s="31">
        <f t="shared" si="6"/>
        <v>0.6726150601</v>
      </c>
      <c r="S34" s="3"/>
      <c r="T34" s="3"/>
      <c r="U34" s="3"/>
      <c r="V34" s="3"/>
      <c r="W34" s="3"/>
      <c r="X34" s="3"/>
      <c r="Y34" s="3"/>
      <c r="Z34" s="3"/>
    </row>
    <row r="35" ht="14.25" customHeight="1">
      <c r="A35" s="43">
        <f t="shared" si="4"/>
        <v>88</v>
      </c>
      <c r="B35" s="27"/>
      <c r="C35" s="29">
        <f t="shared" si="7"/>
        <v>41630.14057</v>
      </c>
      <c r="D35" s="27"/>
      <c r="E35" s="29">
        <f t="shared" si="8"/>
        <v>30312</v>
      </c>
      <c r="F35" s="27"/>
      <c r="G35" s="29"/>
      <c r="H35" s="27"/>
      <c r="I35" s="29">
        <f t="shared" si="9"/>
        <v>23937.33083</v>
      </c>
      <c r="J35" s="27"/>
      <c r="K35" s="29">
        <f t="shared" si="10"/>
        <v>24363.09363</v>
      </c>
      <c r="L35" s="27"/>
      <c r="M35" s="29">
        <v>26162.0</v>
      </c>
      <c r="N35" s="27"/>
      <c r="O35" s="29">
        <f t="shared" si="1"/>
        <v>146404.565</v>
      </c>
      <c r="P35" s="27"/>
      <c r="Q35" s="29">
        <f t="shared" si="2"/>
        <v>12200.38042</v>
      </c>
      <c r="R35" s="31">
        <f t="shared" si="6"/>
        <v>0.6700893551</v>
      </c>
      <c r="S35" s="3"/>
      <c r="T35" s="3"/>
      <c r="U35" s="3"/>
      <c r="V35" s="3"/>
      <c r="W35" s="3"/>
      <c r="X35" s="3"/>
      <c r="Y35" s="3"/>
      <c r="Z35" s="3"/>
    </row>
    <row r="36" ht="14.25" customHeight="1">
      <c r="A36" s="43">
        <f t="shared" si="4"/>
        <v>89</v>
      </c>
      <c r="B36" s="27"/>
      <c r="C36" s="29">
        <f t="shared" si="7"/>
        <v>42462.74339</v>
      </c>
      <c r="D36" s="27"/>
      <c r="E36" s="29">
        <f t="shared" si="8"/>
        <v>30312</v>
      </c>
      <c r="F36" s="27"/>
      <c r="G36" s="29"/>
      <c r="H36" s="27"/>
      <c r="I36" s="29">
        <f t="shared" si="9"/>
        <v>24416.07745</v>
      </c>
      <c r="J36" s="27"/>
      <c r="K36" s="29">
        <f t="shared" si="10"/>
        <v>24850.3555</v>
      </c>
      <c r="L36" s="27"/>
      <c r="M36" s="29">
        <v>26162.0</v>
      </c>
      <c r="N36" s="27"/>
      <c r="O36" s="29">
        <f t="shared" si="1"/>
        <v>148203.1763</v>
      </c>
      <c r="P36" s="27"/>
      <c r="Q36" s="29">
        <f t="shared" si="2"/>
        <v>12350.26469</v>
      </c>
      <c r="R36" s="31">
        <f t="shared" si="6"/>
        <v>0.6675750536</v>
      </c>
      <c r="S36" s="3"/>
      <c r="T36" s="3"/>
      <c r="U36" s="3"/>
      <c r="V36" s="3"/>
      <c r="W36" s="3"/>
      <c r="X36" s="3"/>
      <c r="Y36" s="3"/>
      <c r="Z36" s="3"/>
    </row>
    <row r="37" ht="14.25" customHeight="1">
      <c r="A37" s="44">
        <f t="shared" si="4"/>
        <v>90</v>
      </c>
      <c r="B37" s="33"/>
      <c r="C37" s="34">
        <f t="shared" si="7"/>
        <v>43311.99825</v>
      </c>
      <c r="D37" s="33"/>
      <c r="E37" s="34">
        <f t="shared" si="8"/>
        <v>30312</v>
      </c>
      <c r="F37" s="33"/>
      <c r="G37" s="34"/>
      <c r="H37" s="33"/>
      <c r="I37" s="34">
        <f t="shared" si="9"/>
        <v>24904.399</v>
      </c>
      <c r="J37" s="33"/>
      <c r="K37" s="34">
        <f t="shared" si="10"/>
        <v>25347.36261</v>
      </c>
      <c r="L37" s="33"/>
      <c r="M37" s="34">
        <v>26162.0</v>
      </c>
      <c r="N37" s="33"/>
      <c r="O37" s="34">
        <f t="shared" si="1"/>
        <v>150037.7599</v>
      </c>
      <c r="P37" s="33"/>
      <c r="Q37" s="34">
        <f t="shared" si="2"/>
        <v>12503.14666</v>
      </c>
      <c r="R37" s="35">
        <f t="shared" si="6"/>
        <v>0.665072568</v>
      </c>
      <c r="S37" s="3"/>
      <c r="T37" s="3"/>
      <c r="U37" s="3"/>
      <c r="V37" s="3"/>
      <c r="W37" s="3"/>
      <c r="X37" s="3"/>
      <c r="Y37" s="3"/>
      <c r="Z37" s="3"/>
    </row>
    <row r="38" ht="14.25" customHeight="1">
      <c r="A38" s="1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1:R1"/>
    <mergeCell ref="E4:E5"/>
    <mergeCell ref="G4:G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2022-06-30T09:48:41Z</dcterms:created>
  <dc:creator>Tyler Wille</dc:creator>
</cp:coreProperties>
</file>