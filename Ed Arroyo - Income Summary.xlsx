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e\Downloads\"/>
    </mc:Choice>
  </mc:AlternateContent>
  <xr:revisionPtr revIDLastSave="0" documentId="8_{A31C202A-E63B-4E61-98C6-C4ED68A04E7B}" xr6:coauthVersionLast="47" xr6:coauthVersionMax="47" xr10:uidLastSave="{00000000-0000-0000-0000-000000000000}"/>
  <bookViews>
    <workbookView xWindow="-36870" yWindow="2490" windowWidth="34635" windowHeight="18210" activeTab="2" xr2:uid="{0B914E76-5E12-4516-ABB9-02CDFDAE59AB}"/>
  </bookViews>
  <sheets>
    <sheet name="Current Income Summary" sheetId="1" r:id="rId1"/>
    <sheet name="Guaranteed Income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" i="3" l="1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8" i="3"/>
  <c r="K9" i="3"/>
  <c r="K10" i="3" s="1"/>
  <c r="K11" i="3" s="1"/>
  <c r="K12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7" i="3"/>
  <c r="E14" i="3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C14" i="3"/>
  <c r="C15" i="3" s="1"/>
  <c r="C11" i="3"/>
  <c r="Q9" i="3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O9" i="3"/>
  <c r="O10" i="3" s="1"/>
  <c r="O11" i="3" s="1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M9" i="3"/>
  <c r="M10" i="3" s="1"/>
  <c r="M11" i="3" s="1"/>
  <c r="M12" i="3" s="1"/>
  <c r="I9" i="3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E9" i="3"/>
  <c r="E10" i="3" s="1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9" i="3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S8" i="3"/>
  <c r="G8" i="3"/>
  <c r="G9" i="3" s="1"/>
  <c r="E8" i="3"/>
  <c r="Y7" i="3"/>
  <c r="Y8" i="3" s="1"/>
  <c r="Y9" i="3" s="1"/>
  <c r="Y10" i="3" s="1"/>
  <c r="Y11" i="3" s="1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Q7" i="3"/>
  <c r="O7" i="3"/>
  <c r="M7" i="3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I7" i="3"/>
  <c r="G7" i="3"/>
  <c r="K13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8" i="2"/>
  <c r="I9" i="2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7" i="2"/>
  <c r="E14" i="2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C14" i="2"/>
  <c r="C11" i="2"/>
  <c r="C12" i="2" s="1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Q8" i="2"/>
  <c r="Q9" i="2" s="1"/>
  <c r="Q10" i="2" s="1"/>
  <c r="Q11" i="2" s="1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G8" i="2"/>
  <c r="G9" i="2" s="1"/>
  <c r="G10" i="2" s="1"/>
  <c r="G11" i="2" s="1"/>
  <c r="G12" i="2" s="1"/>
  <c r="G13" i="2" s="1"/>
  <c r="G14" i="2" s="1"/>
  <c r="E8" i="2"/>
  <c r="W7" i="2"/>
  <c r="W8" i="2" s="1"/>
  <c r="W9" i="2" s="1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O7" i="2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M7" i="2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K7" i="2"/>
  <c r="K9" i="2" s="1"/>
  <c r="K10" i="2" s="1"/>
  <c r="K11" i="2" s="1"/>
  <c r="K12" i="2" s="1"/>
  <c r="G7" i="2"/>
  <c r="U7" i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V8" i="1"/>
  <c r="M7" i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K7" i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O8" i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I7" i="1"/>
  <c r="I8" i="1" s="1"/>
  <c r="E14" i="1"/>
  <c r="E8" i="1"/>
  <c r="C14" i="1"/>
  <c r="G8" i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7" i="1"/>
  <c r="E9" i="1"/>
  <c r="C11" i="1"/>
  <c r="C12" i="1" s="1"/>
  <c r="C13" i="1" s="1"/>
  <c r="E4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Z12" i="3" l="1"/>
  <c r="Z11" i="3"/>
  <c r="Z9" i="3"/>
  <c r="U8" i="3"/>
  <c r="W8" i="3" s="1"/>
  <c r="AA8" i="3" s="1"/>
  <c r="G10" i="3"/>
  <c r="G11" i="3" s="1"/>
  <c r="G12" i="3" s="1"/>
  <c r="G13" i="3" s="1"/>
  <c r="G14" i="3" s="1"/>
  <c r="E11" i="3"/>
  <c r="E12" i="3" s="1"/>
  <c r="C16" i="3"/>
  <c r="S9" i="3"/>
  <c r="S10" i="3" s="1"/>
  <c r="S11" i="3" s="1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C12" i="3"/>
  <c r="K14" i="2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G15" i="2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C13" i="2"/>
  <c r="S8" i="2"/>
  <c r="U8" i="2" s="1"/>
  <c r="Y8" i="2" s="1"/>
  <c r="S14" i="2"/>
  <c r="U14" i="2" s="1"/>
  <c r="C15" i="2"/>
  <c r="E9" i="2"/>
  <c r="I9" i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C15" i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E10" i="1"/>
  <c r="E11" i="1" s="1"/>
  <c r="E12" i="1" s="1"/>
  <c r="E13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V9" i="1"/>
  <c r="Q11" i="1"/>
  <c r="S11" i="1" s="1"/>
  <c r="Q10" i="1"/>
  <c r="S10" i="1" s="1"/>
  <c r="Q8" i="1"/>
  <c r="S8" i="1" s="1"/>
  <c r="W8" i="1" s="1"/>
  <c r="V10" i="1"/>
  <c r="Q9" i="1"/>
  <c r="S9" i="1" s="1"/>
  <c r="U10" i="3" l="1"/>
  <c r="W10" i="3" s="1"/>
  <c r="AA10" i="3" s="1"/>
  <c r="C17" i="3"/>
  <c r="U11" i="3"/>
  <c r="W11" i="3" s="1"/>
  <c r="AA11" i="3" s="1"/>
  <c r="U9" i="3"/>
  <c r="W9" i="3" s="1"/>
  <c r="AA9" i="3" s="1"/>
  <c r="U12" i="3"/>
  <c r="W12" i="3" s="1"/>
  <c r="C13" i="3"/>
  <c r="G15" i="3"/>
  <c r="U14" i="3"/>
  <c r="W14" i="3" s="1"/>
  <c r="S15" i="2"/>
  <c r="U15" i="2" s="1"/>
  <c r="C16" i="2"/>
  <c r="Y14" i="2"/>
  <c r="S9" i="2"/>
  <c r="U9" i="2" s="1"/>
  <c r="E10" i="2"/>
  <c r="V11" i="1"/>
  <c r="W9" i="1"/>
  <c r="Q12" i="1"/>
  <c r="S12" i="1" s="1"/>
  <c r="V12" i="1"/>
  <c r="W10" i="1"/>
  <c r="W11" i="1"/>
  <c r="U13" i="3" l="1"/>
  <c r="W13" i="3" s="1"/>
  <c r="AA12" i="3"/>
  <c r="C18" i="3"/>
  <c r="AA14" i="3"/>
  <c r="G16" i="3"/>
  <c r="U15" i="3"/>
  <c r="W15" i="3" s="1"/>
  <c r="Y9" i="2"/>
  <c r="Y15" i="2"/>
  <c r="E11" i="2"/>
  <c r="S10" i="2"/>
  <c r="U10" i="2" s="1"/>
  <c r="C17" i="2"/>
  <c r="S16" i="2"/>
  <c r="U16" i="2" s="1"/>
  <c r="W12" i="1"/>
  <c r="V13" i="1"/>
  <c r="Q13" i="1"/>
  <c r="S13" i="1" s="1"/>
  <c r="AA15" i="3" l="1"/>
  <c r="AA13" i="3"/>
  <c r="G17" i="3"/>
  <c r="U16" i="3"/>
  <c r="W16" i="3" s="1"/>
  <c r="C19" i="3"/>
  <c r="Y10" i="2"/>
  <c r="C18" i="2"/>
  <c r="S17" i="2"/>
  <c r="U17" i="2" s="1"/>
  <c r="Y16" i="2"/>
  <c r="E12" i="2"/>
  <c r="S11" i="2"/>
  <c r="U11" i="2" s="1"/>
  <c r="W13" i="1"/>
  <c r="Q14" i="1"/>
  <c r="S14" i="1" s="1"/>
  <c r="V14" i="1"/>
  <c r="C20" i="3" l="1"/>
  <c r="AA16" i="3"/>
  <c r="G18" i="3"/>
  <c r="U17" i="3"/>
  <c r="W17" i="3" s="1"/>
  <c r="Y11" i="2"/>
  <c r="S12" i="2"/>
  <c r="U12" i="2" s="1"/>
  <c r="Y17" i="2"/>
  <c r="S18" i="2"/>
  <c r="U18" i="2" s="1"/>
  <c r="C19" i="2"/>
  <c r="W14" i="1"/>
  <c r="V15" i="1"/>
  <c r="Q15" i="1"/>
  <c r="S15" i="1" s="1"/>
  <c r="AA17" i="3" l="1"/>
  <c r="G19" i="3"/>
  <c r="U18" i="3"/>
  <c r="W18" i="3" s="1"/>
  <c r="C21" i="3"/>
  <c r="Y12" i="2"/>
  <c r="S19" i="2"/>
  <c r="U19" i="2" s="1"/>
  <c r="C20" i="2"/>
  <c r="Y18" i="2"/>
  <c r="S13" i="2"/>
  <c r="U13" i="2" s="1"/>
  <c r="W15" i="1"/>
  <c r="V16" i="1"/>
  <c r="Q16" i="1"/>
  <c r="S16" i="1" s="1"/>
  <c r="AA18" i="3" l="1"/>
  <c r="C22" i="3"/>
  <c r="G20" i="3"/>
  <c r="U19" i="3"/>
  <c r="W19" i="3" s="1"/>
  <c r="Y13" i="2"/>
  <c r="S20" i="2"/>
  <c r="U20" i="2" s="1"/>
  <c r="C21" i="2"/>
  <c r="Y19" i="2"/>
  <c r="V17" i="1"/>
  <c r="Q17" i="1"/>
  <c r="S17" i="1" s="1"/>
  <c r="W16" i="1"/>
  <c r="AA19" i="3" l="1"/>
  <c r="G21" i="3"/>
  <c r="U20" i="3"/>
  <c r="W20" i="3" s="1"/>
  <c r="C23" i="3"/>
  <c r="Y20" i="2"/>
  <c r="S21" i="2"/>
  <c r="U21" i="2" s="1"/>
  <c r="C22" i="2"/>
  <c r="W17" i="1"/>
  <c r="V18" i="1"/>
  <c r="Q18" i="1"/>
  <c r="S18" i="1" s="1"/>
  <c r="C24" i="3" l="1"/>
  <c r="AA20" i="3"/>
  <c r="G22" i="3"/>
  <c r="U21" i="3"/>
  <c r="W21" i="3" s="1"/>
  <c r="Y21" i="2"/>
  <c r="C23" i="2"/>
  <c r="S22" i="2"/>
  <c r="U22" i="2" s="1"/>
  <c r="W18" i="1"/>
  <c r="Q19" i="1"/>
  <c r="S19" i="1" s="1"/>
  <c r="V19" i="1"/>
  <c r="AA21" i="3" l="1"/>
  <c r="G23" i="3"/>
  <c r="U22" i="3"/>
  <c r="W22" i="3" s="1"/>
  <c r="C25" i="3"/>
  <c r="Y22" i="2"/>
  <c r="C24" i="2"/>
  <c r="S23" i="2"/>
  <c r="U23" i="2" s="1"/>
  <c r="W19" i="1"/>
  <c r="V20" i="1"/>
  <c r="Q20" i="1"/>
  <c r="S20" i="1" s="1"/>
  <c r="C26" i="3" l="1"/>
  <c r="AA22" i="3"/>
  <c r="G24" i="3"/>
  <c r="U23" i="3"/>
  <c r="W23" i="3" s="1"/>
  <c r="Y23" i="2"/>
  <c r="C25" i="2"/>
  <c r="S24" i="2"/>
  <c r="U24" i="2" s="1"/>
  <c r="W20" i="1"/>
  <c r="V21" i="1"/>
  <c r="Q21" i="1"/>
  <c r="S21" i="1" s="1"/>
  <c r="G25" i="3" l="1"/>
  <c r="U24" i="3"/>
  <c r="W24" i="3" s="1"/>
  <c r="AA23" i="3"/>
  <c r="C27" i="3"/>
  <c r="Y24" i="2"/>
  <c r="S25" i="2"/>
  <c r="U25" i="2" s="1"/>
  <c r="C26" i="2"/>
  <c r="V22" i="1"/>
  <c r="Q22" i="1"/>
  <c r="S22" i="1" s="1"/>
  <c r="W21" i="1"/>
  <c r="AA24" i="3" l="1"/>
  <c r="C28" i="3"/>
  <c r="G26" i="3"/>
  <c r="U25" i="3"/>
  <c r="W25" i="3" s="1"/>
  <c r="AA25" i="3" s="1"/>
  <c r="Y25" i="2"/>
  <c r="S26" i="2"/>
  <c r="U26" i="2" s="1"/>
  <c r="C27" i="2"/>
  <c r="W22" i="1"/>
  <c r="V23" i="1"/>
  <c r="Q23" i="1"/>
  <c r="S23" i="1" s="1"/>
  <c r="C29" i="3" l="1"/>
  <c r="G27" i="3"/>
  <c r="U26" i="3"/>
  <c r="W26" i="3" s="1"/>
  <c r="Y26" i="2"/>
  <c r="S27" i="2"/>
  <c r="U27" i="2" s="1"/>
  <c r="C28" i="2"/>
  <c r="W23" i="1"/>
  <c r="Q24" i="1"/>
  <c r="S24" i="1" s="1"/>
  <c r="V24" i="1"/>
  <c r="AA26" i="3" l="1"/>
  <c r="G28" i="3"/>
  <c r="U27" i="3"/>
  <c r="W27" i="3" s="1"/>
  <c r="C30" i="3"/>
  <c r="Y27" i="2"/>
  <c r="C29" i="2"/>
  <c r="S28" i="2"/>
  <c r="U28" i="2" s="1"/>
  <c r="W24" i="1"/>
  <c r="V25" i="1"/>
  <c r="Q25" i="1"/>
  <c r="S25" i="1" s="1"/>
  <c r="C31" i="3" l="1"/>
  <c r="AA27" i="3"/>
  <c r="G29" i="3"/>
  <c r="U28" i="3"/>
  <c r="W28" i="3" s="1"/>
  <c r="Y28" i="2"/>
  <c r="C30" i="2"/>
  <c r="S29" i="2"/>
  <c r="U29" i="2" s="1"/>
  <c r="W25" i="1"/>
  <c r="V26" i="1"/>
  <c r="Q26" i="1"/>
  <c r="S26" i="1" s="1"/>
  <c r="AA28" i="3" l="1"/>
  <c r="G30" i="3"/>
  <c r="U29" i="3"/>
  <c r="W29" i="3" s="1"/>
  <c r="C31" i="2"/>
  <c r="S30" i="2"/>
  <c r="U30" i="2" s="1"/>
  <c r="Y29" i="2"/>
  <c r="V27" i="1"/>
  <c r="Q27" i="1"/>
  <c r="S27" i="1" s="1"/>
  <c r="W26" i="1"/>
  <c r="AA29" i="3" l="1"/>
  <c r="G31" i="3"/>
  <c r="U30" i="3"/>
  <c r="W30" i="3" s="1"/>
  <c r="Y30" i="2"/>
  <c r="S31" i="2"/>
  <c r="U31" i="2" s="1"/>
  <c r="W27" i="1"/>
  <c r="V28" i="1"/>
  <c r="Q28" i="1"/>
  <c r="S28" i="1" s="1"/>
  <c r="AA30" i="3" l="1"/>
  <c r="U31" i="3"/>
  <c r="W31" i="3" s="1"/>
  <c r="Y31" i="2"/>
  <c r="W28" i="1"/>
  <c r="Q29" i="1"/>
  <c r="S29" i="1" s="1"/>
  <c r="V29" i="1"/>
  <c r="AA31" i="3" l="1"/>
  <c r="W29" i="1"/>
  <c r="V30" i="1"/>
  <c r="Q30" i="1"/>
  <c r="S30" i="1" s="1"/>
  <c r="W30" i="1" l="1"/>
  <c r="V31" i="1"/>
  <c r="Q31" i="1"/>
  <c r="S31" i="1" s="1"/>
  <c r="W31" i="1" l="1"/>
</calcChain>
</file>

<file path=xl/sharedStrings.xml><?xml version="1.0" encoding="utf-8"?>
<sst xmlns="http://schemas.openxmlformats.org/spreadsheetml/2006/main" count="49" uniqueCount="17">
  <si>
    <t xml:space="preserve">Ages </t>
  </si>
  <si>
    <t>Annual Total</t>
  </si>
  <si>
    <t>Monthly Total</t>
  </si>
  <si>
    <t>Target Goal with Inflation</t>
  </si>
  <si>
    <t>Guaranteed Income</t>
  </si>
  <si>
    <t>Rachel Income &amp; Social Security</t>
  </si>
  <si>
    <t>Ed Pension</t>
  </si>
  <si>
    <t>Ed Social Security</t>
  </si>
  <si>
    <t>401k</t>
  </si>
  <si>
    <t>IRA</t>
  </si>
  <si>
    <t>Roth</t>
  </si>
  <si>
    <t>Ed &amp; Rachel Current Income Summary</t>
  </si>
  <si>
    <t>Rachel 401k</t>
  </si>
  <si>
    <t>25% Taxes</t>
  </si>
  <si>
    <t>Guaranteed Income From 401k</t>
  </si>
  <si>
    <t>?</t>
  </si>
  <si>
    <t>Sheet is for summary purposes only. Please reference Right Capital Analysis and all other annuity and social security and other documentation to verify income, taxes,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</si>
</sst>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_(&quot;$&quot;* #,##0_);_(&quot;$&quot;* \(#,##0\);_(&quot;$&quot;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2" fillId="4" borderId="2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vertical="center" wrapText="1"/>
    </xf>
    <xf numFmtId="9" fontId="2" fillId="0" borderId="6" xfId="2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 wrapText="1"/>
    </xf>
    <xf numFmtId="9" fontId="2" fillId="0" borderId="7" xfId="2" applyFont="1" applyBorder="1" applyAlignment="1">
      <alignment horizontal="center"/>
    </xf>
    <xf numFmtId="164" fontId="2" fillId="6" borderId="0" xfId="0" applyNumberFormat="1" applyFont="1" applyFill="1" applyAlignment="1">
      <alignment horizontal="center"/>
    </xf>
    <xf numFmtId="164" fontId="2" fillId="6" borderId="8" xfId="0" applyNumberFormat="1" applyFont="1" applyFill="1" applyBorder="1" applyAlignment="1">
      <alignment horizontal="center"/>
    </xf>
    <xf numFmtId="6" fontId="2" fillId="0" borderId="6" xfId="2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9" fontId="2" fillId="6" borderId="8" xfId="2" applyFont="1" applyFill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0" fontId="5" fillId="0" borderId="0" xfId="2" applyNumberFormat="1" applyFont="1" applyFill="1" applyBorder="1" applyAlignment="1">
      <alignment horizontal="center"/>
    </xf>
    <xf numFmtId="165" fontId="0" fillId="6" borderId="0" xfId="0" applyNumberFormat="1" applyFill="1" applyAlignment="1">
      <alignment horizontal="center"/>
    </xf>
    <xf numFmtId="9" fontId="0" fillId="6" borderId="8" xfId="2" applyFont="1" applyFill="1" applyBorder="1" applyAlignment="1">
      <alignment horizontal="center"/>
    </xf>
    <xf numFmtId="164" fontId="2" fillId="2" borderId="9" xfId="0" applyNumberFormat="1" applyFont="1" applyFill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wrapText="1"/>
    </xf>
    <xf numFmtId="164" fontId="2" fillId="0" borderId="8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66" fontId="2" fillId="0" borderId="6" xfId="1" applyNumberFormat="1" applyFont="1" applyBorder="1" applyAlignment="1">
      <alignment horizontal="center"/>
    </xf>
    <xf numFmtId="165" fontId="6" fillId="0" borderId="8" xfId="0" applyNumberFormat="1" applyFont="1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10" fontId="2" fillId="0" borderId="7" xfId="2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2" fillId="5" borderId="1" xfId="0" applyNumberFormat="1" applyFont="1" applyFill="1" applyBorder="1" applyAlignment="1">
      <alignment horizontal="center" vertical="center" wrapText="1"/>
    </xf>
    <xf numFmtId="164" fontId="2" fillId="5" borderId="5" xfId="0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99A48-D860-4DC9-9211-47D2BD6CF75D}">
  <dimension ref="A1:W31"/>
  <sheetViews>
    <sheetView workbookViewId="0">
      <selection sqref="A1:XFD1048576"/>
    </sheetView>
  </sheetViews>
  <sheetFormatPr defaultColWidth="7" defaultRowHeight="15" x14ac:dyDescent="0.25"/>
  <cols>
    <col min="1" max="2" width="4.85546875" style="1" customWidth="1"/>
    <col min="3" max="3" width="15.140625" style="2" customWidth="1"/>
    <col min="4" max="4" width="3.28515625" style="2" customWidth="1"/>
    <col min="5" max="5" width="15.85546875" style="2" bestFit="1" customWidth="1"/>
    <col min="6" max="6" width="3.5703125" style="2" customWidth="1"/>
    <col min="7" max="7" width="15.85546875" style="2" bestFit="1" customWidth="1"/>
    <col min="8" max="8" width="3.5703125" style="2" customWidth="1"/>
    <col min="9" max="9" width="15.85546875" style="2" bestFit="1" customWidth="1"/>
    <col min="10" max="10" width="3.5703125" style="2" customWidth="1"/>
    <col min="11" max="11" width="15.85546875" style="2" bestFit="1" customWidth="1"/>
    <col min="12" max="12" width="3.5703125" style="2" customWidth="1"/>
    <col min="13" max="13" width="15.85546875" style="2" bestFit="1" customWidth="1"/>
    <col min="14" max="14" width="3.5703125" style="2" customWidth="1"/>
    <col min="15" max="15" width="15.85546875" style="2" bestFit="1" customWidth="1"/>
    <col min="16" max="16" width="3" style="2" hidden="1" customWidth="1"/>
    <col min="17" max="17" width="11.140625" style="2" hidden="1" customWidth="1"/>
    <col min="18" max="18" width="3" style="2" customWidth="1"/>
    <col min="19" max="19" width="11.140625" style="2" bestFit="1" customWidth="1"/>
    <col min="20" max="20" width="3" style="2" customWidth="1"/>
    <col min="21" max="21" width="11.140625" style="2" customWidth="1"/>
    <col min="22" max="22" width="9.85546875" style="2" customWidth="1"/>
    <col min="23" max="23" width="8.28515625" style="2" customWidth="1"/>
    <col min="24" max="24" width="11.140625" style="2" bestFit="1" customWidth="1"/>
    <col min="25" max="16384" width="7" style="2"/>
  </cols>
  <sheetData>
    <row r="1" spans="1:23" ht="19.5" thickBot="1" x14ac:dyDescent="0.35">
      <c r="C1" s="46" t="s">
        <v>11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</row>
    <row r="2" spans="1:23" s="10" customFormat="1" ht="45" x14ac:dyDescent="0.25">
      <c r="A2" s="49" t="s">
        <v>0</v>
      </c>
      <c r="B2" s="50"/>
      <c r="C2" s="29" t="s">
        <v>7</v>
      </c>
      <c r="D2" s="4"/>
      <c r="E2" s="3" t="s">
        <v>5</v>
      </c>
      <c r="F2" s="5"/>
      <c r="G2" s="3" t="s">
        <v>6</v>
      </c>
      <c r="H2" s="5"/>
      <c r="I2" s="6" t="s">
        <v>8</v>
      </c>
      <c r="J2" s="5"/>
      <c r="K2" s="6" t="s">
        <v>9</v>
      </c>
      <c r="L2" s="5"/>
      <c r="M2" s="6" t="s">
        <v>10</v>
      </c>
      <c r="N2" s="5"/>
      <c r="O2" s="6" t="s">
        <v>12</v>
      </c>
      <c r="P2" s="7"/>
      <c r="Q2" s="8" t="s">
        <v>1</v>
      </c>
      <c r="R2" s="7"/>
      <c r="S2" s="8" t="s">
        <v>2</v>
      </c>
      <c r="T2" s="7"/>
      <c r="U2" s="9" t="s">
        <v>3</v>
      </c>
      <c r="V2" s="47" t="s">
        <v>4</v>
      </c>
      <c r="W2" s="48"/>
    </row>
    <row r="3" spans="1:23" s="10" customFormat="1" x14ac:dyDescent="0.25">
      <c r="A3" s="34"/>
      <c r="B3" s="35"/>
      <c r="C3" s="30"/>
      <c r="D3" s="11"/>
      <c r="E3" s="12">
        <v>0.02</v>
      </c>
      <c r="F3" s="13"/>
      <c r="G3" s="12"/>
      <c r="H3" s="13"/>
      <c r="I3" s="12">
        <v>7.0000000000000007E-2</v>
      </c>
      <c r="J3" s="13"/>
      <c r="K3" s="12">
        <v>7.0000000000000007E-2</v>
      </c>
      <c r="L3" s="13"/>
      <c r="M3" s="12">
        <v>7.0000000000000007E-2</v>
      </c>
      <c r="N3" s="13"/>
      <c r="O3" s="12">
        <v>7.0000000000000007E-2</v>
      </c>
      <c r="P3" s="11"/>
      <c r="Q3" s="14"/>
      <c r="R3" s="11"/>
      <c r="S3" s="14"/>
      <c r="T3" s="11"/>
      <c r="U3" s="45">
        <v>2.5000000000000001E-2</v>
      </c>
      <c r="V3" s="16"/>
      <c r="W3" s="17"/>
    </row>
    <row r="4" spans="1:23" s="10" customFormat="1" x14ac:dyDescent="0.25">
      <c r="A4" s="34">
        <v>57</v>
      </c>
      <c r="B4" s="35">
        <v>57</v>
      </c>
      <c r="C4" s="31"/>
      <c r="E4" s="42">
        <f>1244*12</f>
        <v>14928</v>
      </c>
      <c r="G4" s="18"/>
      <c r="I4" s="18">
        <v>900000</v>
      </c>
      <c r="K4" s="18">
        <v>100000</v>
      </c>
      <c r="M4" s="18">
        <v>100000</v>
      </c>
      <c r="O4" s="18">
        <v>0</v>
      </c>
      <c r="Q4" s="19"/>
      <c r="S4" s="19"/>
      <c r="U4" s="15"/>
      <c r="V4" s="16"/>
      <c r="W4" s="17"/>
    </row>
    <row r="5" spans="1:23" s="10" customFormat="1" x14ac:dyDescent="0.25">
      <c r="A5" s="34"/>
      <c r="B5" s="35"/>
      <c r="C5" s="32"/>
      <c r="E5" s="21"/>
      <c r="G5" s="21"/>
      <c r="I5" s="44"/>
      <c r="K5" s="44"/>
      <c r="M5" s="44"/>
      <c r="O5" s="21"/>
      <c r="Q5" s="20"/>
      <c r="S5" s="20" t="s">
        <v>13</v>
      </c>
      <c r="U5" s="21">
        <v>8000</v>
      </c>
      <c r="V5" s="16"/>
      <c r="W5" s="22"/>
    </row>
    <row r="6" spans="1:23" s="10" customFormat="1" ht="16.5" customHeight="1" x14ac:dyDescent="0.25">
      <c r="A6" s="34"/>
      <c r="B6" s="35"/>
      <c r="C6" s="32"/>
      <c r="E6" s="21"/>
      <c r="G6" s="21"/>
      <c r="I6" s="21"/>
      <c r="K6" s="21"/>
      <c r="M6" s="21"/>
      <c r="O6" s="21"/>
      <c r="Q6" s="20"/>
      <c r="S6" s="20"/>
      <c r="U6" s="20"/>
      <c r="V6" s="16"/>
      <c r="W6" s="22"/>
    </row>
    <row r="7" spans="1:23" s="10" customFormat="1" x14ac:dyDescent="0.25">
      <c r="A7" s="36"/>
      <c r="B7" s="37"/>
      <c r="C7" s="32"/>
      <c r="E7" s="21"/>
      <c r="G7" s="21">
        <f>FV(G3,12,0,G4,0)*-1</f>
        <v>0</v>
      </c>
      <c r="I7" s="21">
        <f>FV(I3,2,27500,I4,0)*-1</f>
        <v>1087335</v>
      </c>
      <c r="K7" s="21">
        <f>FV(K3,2,0,K4,0)*-1</f>
        <v>114490</v>
      </c>
      <c r="M7" s="21">
        <f>FV(M3,2,0,M4,0)*-1</f>
        <v>114490</v>
      </c>
      <c r="O7" s="21">
        <v>0</v>
      </c>
      <c r="Q7" s="20"/>
      <c r="S7" s="20"/>
      <c r="U7" s="21">
        <f>FV(U3,3,0,U5,0)*-1</f>
        <v>8615.1249999999982</v>
      </c>
      <c r="V7" s="16"/>
      <c r="W7" s="17"/>
    </row>
    <row r="8" spans="1:23" x14ac:dyDescent="0.25">
      <c r="A8" s="38">
        <v>59</v>
      </c>
      <c r="B8" s="39">
        <v>59</v>
      </c>
      <c r="C8" s="43">
        <v>0</v>
      </c>
      <c r="D8" s="24"/>
      <c r="E8" s="23">
        <f>60000</f>
        <v>60000</v>
      </c>
      <c r="F8" s="25"/>
      <c r="G8" s="23">
        <f>4700*12</f>
        <v>56400</v>
      </c>
      <c r="H8" s="25"/>
      <c r="I8" s="23">
        <f>I7*3%</f>
        <v>32620.05</v>
      </c>
      <c r="J8" s="25"/>
      <c r="K8" s="23">
        <f>K7*4%</f>
        <v>4579.6000000000004</v>
      </c>
      <c r="L8" s="25"/>
      <c r="M8" s="23">
        <f>M7*4%</f>
        <v>4579.6000000000004</v>
      </c>
      <c r="N8" s="25"/>
      <c r="O8" s="23">
        <f>O7*4%</f>
        <v>0</v>
      </c>
      <c r="P8" s="26"/>
      <c r="Q8" s="23">
        <f>SUM(C8:P8)</f>
        <v>158179.25</v>
      </c>
      <c r="R8" s="26"/>
      <c r="S8" s="23">
        <f>Q8*0.85/12</f>
        <v>11204.363541666666</v>
      </c>
      <c r="T8" s="26"/>
      <c r="U8" s="23">
        <f>U7*1.02</f>
        <v>8787.427499999998</v>
      </c>
      <c r="V8" s="27">
        <f>(C8+E8+G8)/12*0.8</f>
        <v>7760</v>
      </c>
      <c r="W8" s="28">
        <f>V8/S8</f>
        <v>0.69258730950153446</v>
      </c>
    </row>
    <row r="9" spans="1:23" x14ac:dyDescent="0.25">
      <c r="A9" s="38">
        <f t="shared" ref="A9:B31" si="0">A8+1</f>
        <v>60</v>
      </c>
      <c r="B9" s="39">
        <f t="shared" si="0"/>
        <v>60</v>
      </c>
      <c r="C9" s="33">
        <v>0</v>
      </c>
      <c r="D9" s="24"/>
      <c r="E9" s="23">
        <f>E8*1.02</f>
        <v>61200</v>
      </c>
      <c r="F9" s="25"/>
      <c r="G9" s="23">
        <f>G8*1.01</f>
        <v>56964</v>
      </c>
      <c r="H9" s="25"/>
      <c r="I9" s="23">
        <f>I8*1.02</f>
        <v>33272.451000000001</v>
      </c>
      <c r="J9" s="25"/>
      <c r="K9" s="23">
        <f>K8*1.02</f>
        <v>4671.192</v>
      </c>
      <c r="L9" s="25"/>
      <c r="M9" s="23">
        <f>M8*1.02</f>
        <v>4671.192</v>
      </c>
      <c r="N9" s="25"/>
      <c r="O9" s="23">
        <f>O8*1.02</f>
        <v>0</v>
      </c>
      <c r="P9" s="25"/>
      <c r="Q9" s="23">
        <f>SUM(C9:P9)</f>
        <v>160778.83500000002</v>
      </c>
      <c r="R9" s="25"/>
      <c r="S9" s="23">
        <f t="shared" ref="S9:S31" si="1">Q9*0.8/12</f>
        <v>10718.589000000002</v>
      </c>
      <c r="T9" s="25"/>
      <c r="U9" s="23">
        <f>U8*(1+$U$3)</f>
        <v>9007.1131874999974</v>
      </c>
      <c r="V9" s="27">
        <f>(C9+E9+G9)/12*0.8</f>
        <v>7877.6</v>
      </c>
      <c r="W9" s="28">
        <f t="shared" ref="W9:W31" si="2">V9/S9</f>
        <v>0.73494748235985152</v>
      </c>
    </row>
    <row r="10" spans="1:23" x14ac:dyDescent="0.25">
      <c r="A10" s="38">
        <f t="shared" si="0"/>
        <v>61</v>
      </c>
      <c r="B10" s="39">
        <f t="shared" si="0"/>
        <v>61</v>
      </c>
      <c r="C10" s="33">
        <v>0</v>
      </c>
      <c r="D10" s="24"/>
      <c r="E10" s="23">
        <f t="shared" ref="E10:E31" si="3">E9*1.02</f>
        <v>62424</v>
      </c>
      <c r="F10" s="25"/>
      <c r="G10" s="23">
        <f t="shared" ref="G10:G30" si="4">G9*1.01</f>
        <v>57533.64</v>
      </c>
      <c r="H10" s="25"/>
      <c r="I10" s="23">
        <f t="shared" ref="I10:I31" si="5">I9*1.02</f>
        <v>33937.900020000001</v>
      </c>
      <c r="J10" s="25"/>
      <c r="K10" s="23">
        <f t="shared" ref="K10:K31" si="6">K9*1.02</f>
        <v>4764.6158400000004</v>
      </c>
      <c r="L10" s="25"/>
      <c r="M10" s="23">
        <f t="shared" ref="M10:O31" si="7">M9*1.02</f>
        <v>4764.6158400000004</v>
      </c>
      <c r="N10" s="25"/>
      <c r="O10" s="23">
        <f t="shared" si="7"/>
        <v>0</v>
      </c>
      <c r="P10" s="25"/>
      <c r="Q10" s="23">
        <f>SUM(C10:P10)</f>
        <v>163424.77170000004</v>
      </c>
      <c r="R10" s="25"/>
      <c r="S10" s="23">
        <f t="shared" si="1"/>
        <v>10894.984780000004</v>
      </c>
      <c r="T10" s="25"/>
      <c r="U10" s="23">
        <f t="shared" ref="U10:U31" si="8">U9*(1+$U$3)</f>
        <v>9232.2910171874973</v>
      </c>
      <c r="V10" s="27">
        <f>(C10+E10+G10)/12*0.8</f>
        <v>7997.1759999999995</v>
      </c>
      <c r="W10" s="28">
        <f t="shared" si="2"/>
        <v>0.73402360457450733</v>
      </c>
    </row>
    <row r="11" spans="1:23" x14ac:dyDescent="0.25">
      <c r="A11" s="38">
        <f t="shared" si="0"/>
        <v>62</v>
      </c>
      <c r="B11" s="39">
        <f t="shared" si="0"/>
        <v>62</v>
      </c>
      <c r="C11" s="33">
        <f t="shared" ref="C11:C31" si="9">C10*1.02</f>
        <v>0</v>
      </c>
      <c r="D11" s="24"/>
      <c r="E11" s="23">
        <f t="shared" si="3"/>
        <v>63672.480000000003</v>
      </c>
      <c r="F11" s="25"/>
      <c r="G11" s="23">
        <f t="shared" si="4"/>
        <v>58108.9764</v>
      </c>
      <c r="H11" s="25"/>
      <c r="I11" s="23">
        <f t="shared" si="5"/>
        <v>34616.658020399998</v>
      </c>
      <c r="J11" s="25"/>
      <c r="K11" s="23">
        <f t="shared" si="6"/>
        <v>4859.9081568000001</v>
      </c>
      <c r="L11" s="25"/>
      <c r="M11" s="23">
        <f t="shared" si="7"/>
        <v>4859.9081568000001</v>
      </c>
      <c r="N11" s="25"/>
      <c r="O11" s="23">
        <f t="shared" si="7"/>
        <v>0</v>
      </c>
      <c r="P11" s="25"/>
      <c r="Q11" s="23">
        <f>SUM(C11:P11)</f>
        <v>166117.93073399999</v>
      </c>
      <c r="R11" s="25"/>
      <c r="S11" s="23">
        <f t="shared" si="1"/>
        <v>11074.528715599999</v>
      </c>
      <c r="T11" s="25"/>
      <c r="U11" s="23">
        <f t="shared" si="8"/>
        <v>9463.0982926171837</v>
      </c>
      <c r="V11" s="27">
        <f>(C11+E11+G11)/12*0.8</f>
        <v>8118.7637600000007</v>
      </c>
      <c r="W11" s="28">
        <f t="shared" si="2"/>
        <v>0.73310241622865657</v>
      </c>
    </row>
    <row r="12" spans="1:23" x14ac:dyDescent="0.25">
      <c r="A12" s="38">
        <f t="shared" si="0"/>
        <v>63</v>
      </c>
      <c r="B12" s="39">
        <f t="shared" si="0"/>
        <v>63</v>
      </c>
      <c r="C12" s="33">
        <f t="shared" si="9"/>
        <v>0</v>
      </c>
      <c r="D12" s="24"/>
      <c r="E12" s="23">
        <f t="shared" si="3"/>
        <v>64945.929600000003</v>
      </c>
      <c r="F12" s="25"/>
      <c r="G12" s="23">
        <f t="shared" si="4"/>
        <v>58690.066164000003</v>
      </c>
      <c r="H12" s="25"/>
      <c r="I12" s="23">
        <f t="shared" si="5"/>
        <v>35308.991180808</v>
      </c>
      <c r="J12" s="25"/>
      <c r="K12" s="23">
        <f t="shared" si="6"/>
        <v>4957.1063199360005</v>
      </c>
      <c r="L12" s="25"/>
      <c r="M12" s="23">
        <f t="shared" si="7"/>
        <v>4957.1063199360005</v>
      </c>
      <c r="N12" s="25"/>
      <c r="O12" s="23">
        <f t="shared" si="7"/>
        <v>0</v>
      </c>
      <c r="P12" s="25"/>
      <c r="Q12" s="23">
        <f>SUM(C12:P12)</f>
        <v>168859.19958468</v>
      </c>
      <c r="R12" s="25"/>
      <c r="S12" s="23">
        <f t="shared" si="1"/>
        <v>11257.279972311999</v>
      </c>
      <c r="T12" s="25"/>
      <c r="U12" s="23">
        <f t="shared" si="8"/>
        <v>9699.6757499326122</v>
      </c>
      <c r="V12" s="27">
        <f>(C12+E12+G12)/12*0.8</f>
        <v>8242.3997176000012</v>
      </c>
      <c r="W12" s="28">
        <f t="shared" si="2"/>
        <v>0.73218395010808213</v>
      </c>
    </row>
    <row r="13" spans="1:23" ht="15.75" customHeight="1" x14ac:dyDescent="0.25">
      <c r="A13" s="38">
        <f t="shared" si="0"/>
        <v>64</v>
      </c>
      <c r="B13" s="39">
        <f t="shared" si="0"/>
        <v>64</v>
      </c>
      <c r="C13" s="33">
        <f t="shared" si="9"/>
        <v>0</v>
      </c>
      <c r="D13" s="24"/>
      <c r="E13" s="23">
        <f t="shared" si="3"/>
        <v>66244.848192000005</v>
      </c>
      <c r="F13" s="25"/>
      <c r="G13" s="23">
        <f t="shared" si="4"/>
        <v>59276.966825640004</v>
      </c>
      <c r="H13" s="25"/>
      <c r="I13" s="23">
        <f t="shared" si="5"/>
        <v>36015.171004424163</v>
      </c>
      <c r="J13" s="25"/>
      <c r="K13" s="23">
        <f t="shared" si="6"/>
        <v>5056.2484463347209</v>
      </c>
      <c r="L13" s="25"/>
      <c r="M13" s="23">
        <f t="shared" si="7"/>
        <v>5056.2484463347209</v>
      </c>
      <c r="N13" s="25"/>
      <c r="O13" s="23">
        <f t="shared" si="7"/>
        <v>0</v>
      </c>
      <c r="P13" s="25"/>
      <c r="Q13" s="23">
        <f>SUM(C13:P13)</f>
        <v>171649.48291473364</v>
      </c>
      <c r="R13" s="25"/>
      <c r="S13" s="23">
        <f t="shared" si="1"/>
        <v>11443.298860982242</v>
      </c>
      <c r="T13" s="25"/>
      <c r="U13" s="23">
        <f t="shared" si="8"/>
        <v>9942.1676436809266</v>
      </c>
      <c r="V13" s="27">
        <f>(C13+E13+G13)/12*0.8</f>
        <v>8368.1210011760013</v>
      </c>
      <c r="W13" s="28">
        <f t="shared" si="2"/>
        <v>0.73126823854163669</v>
      </c>
    </row>
    <row r="14" spans="1:23" x14ac:dyDescent="0.25">
      <c r="A14" s="38">
        <f t="shared" si="0"/>
        <v>65</v>
      </c>
      <c r="B14" s="39">
        <f t="shared" si="0"/>
        <v>65</v>
      </c>
      <c r="C14" s="33">
        <f>3250*12</f>
        <v>39000</v>
      </c>
      <c r="D14" s="24"/>
      <c r="E14" s="23">
        <f>3000*12</f>
        <v>36000</v>
      </c>
      <c r="F14" s="25"/>
      <c r="G14" s="23">
        <f t="shared" si="4"/>
        <v>59869.736493896402</v>
      </c>
      <c r="H14" s="25"/>
      <c r="I14" s="23">
        <f t="shared" si="5"/>
        <v>36735.474424512649</v>
      </c>
      <c r="J14" s="25"/>
      <c r="K14" s="23">
        <f t="shared" si="6"/>
        <v>5157.3734152614152</v>
      </c>
      <c r="L14" s="25"/>
      <c r="M14" s="23">
        <f t="shared" si="7"/>
        <v>5157.3734152614152</v>
      </c>
      <c r="N14" s="25"/>
      <c r="O14" s="23">
        <f t="shared" si="7"/>
        <v>0</v>
      </c>
      <c r="P14" s="25"/>
      <c r="Q14" s="23">
        <f>SUM(C14:P14)</f>
        <v>181919.95774893189</v>
      </c>
      <c r="R14" s="25"/>
      <c r="S14" s="23">
        <f t="shared" si="1"/>
        <v>12127.997183262125</v>
      </c>
      <c r="T14" s="25"/>
      <c r="U14" s="23">
        <f t="shared" si="8"/>
        <v>10190.721834772949</v>
      </c>
      <c r="V14" s="27">
        <f>(C14+E14+G14)/12*0.8</f>
        <v>8991.3157662597605</v>
      </c>
      <c r="W14" s="28">
        <f t="shared" si="2"/>
        <v>0.74136855660460532</v>
      </c>
    </row>
    <row r="15" spans="1:23" x14ac:dyDescent="0.25">
      <c r="A15" s="38">
        <f t="shared" si="0"/>
        <v>66</v>
      </c>
      <c r="B15" s="39">
        <f t="shared" si="0"/>
        <v>66</v>
      </c>
      <c r="C15" s="33">
        <f t="shared" si="9"/>
        <v>39780</v>
      </c>
      <c r="D15" s="24"/>
      <c r="E15" s="23">
        <f t="shared" si="3"/>
        <v>36720</v>
      </c>
      <c r="F15" s="25"/>
      <c r="G15" s="23">
        <f t="shared" si="4"/>
        <v>60468.433858835364</v>
      </c>
      <c r="H15" s="25"/>
      <c r="I15" s="23">
        <f t="shared" si="5"/>
        <v>37470.183913002904</v>
      </c>
      <c r="J15" s="25"/>
      <c r="K15" s="23">
        <f t="shared" si="6"/>
        <v>5260.5208835666435</v>
      </c>
      <c r="L15" s="25"/>
      <c r="M15" s="23">
        <f t="shared" si="7"/>
        <v>5260.5208835666435</v>
      </c>
      <c r="N15" s="25"/>
      <c r="O15" s="23">
        <f t="shared" si="7"/>
        <v>0</v>
      </c>
      <c r="P15" s="25"/>
      <c r="Q15" s="23">
        <f>SUM(C15:P15)</f>
        <v>184959.65953897155</v>
      </c>
      <c r="R15" s="25"/>
      <c r="S15" s="23">
        <f t="shared" si="1"/>
        <v>12330.643969264771</v>
      </c>
      <c r="T15" s="25"/>
      <c r="U15" s="23">
        <f t="shared" si="8"/>
        <v>10445.489880642272</v>
      </c>
      <c r="V15" s="27">
        <f>(C15+E15+G15)/12*0.8</f>
        <v>9131.2289239223592</v>
      </c>
      <c r="W15" s="28">
        <f t="shared" si="2"/>
        <v>0.7405313904677453</v>
      </c>
    </row>
    <row r="16" spans="1:23" x14ac:dyDescent="0.25">
      <c r="A16" s="38">
        <f t="shared" si="0"/>
        <v>67</v>
      </c>
      <c r="B16" s="39">
        <f t="shared" si="0"/>
        <v>67</v>
      </c>
      <c r="C16" s="33">
        <f t="shared" si="9"/>
        <v>40575.599999999999</v>
      </c>
      <c r="D16" s="24"/>
      <c r="E16" s="23">
        <f t="shared" si="3"/>
        <v>37454.400000000001</v>
      </c>
      <c r="F16" s="25"/>
      <c r="G16" s="23">
        <f t="shared" si="4"/>
        <v>61073.118197423719</v>
      </c>
      <c r="H16" s="25"/>
      <c r="I16" s="23">
        <f t="shared" si="5"/>
        <v>38219.587591262964</v>
      </c>
      <c r="J16" s="25"/>
      <c r="K16" s="23">
        <f t="shared" si="6"/>
        <v>5365.7313012379764</v>
      </c>
      <c r="L16" s="25"/>
      <c r="M16" s="23">
        <f t="shared" si="7"/>
        <v>5365.7313012379764</v>
      </c>
      <c r="N16" s="25"/>
      <c r="O16" s="23">
        <f t="shared" si="7"/>
        <v>0</v>
      </c>
      <c r="P16" s="25"/>
      <c r="Q16" s="23">
        <f>SUM(C16:P16)</f>
        <v>188054.16839116265</v>
      </c>
      <c r="R16" s="25"/>
      <c r="S16" s="23">
        <f t="shared" si="1"/>
        <v>12536.944559410842</v>
      </c>
      <c r="T16" s="25"/>
      <c r="U16" s="23">
        <f t="shared" si="8"/>
        <v>10706.627127658327</v>
      </c>
      <c r="V16" s="27">
        <f>(C16+E16+G16)/12*0.8</f>
        <v>9273.5412131615813</v>
      </c>
      <c r="W16" s="28">
        <f t="shared" si="2"/>
        <v>0.73969707445187738</v>
      </c>
    </row>
    <row r="17" spans="1:23" x14ac:dyDescent="0.25">
      <c r="A17" s="38">
        <f t="shared" si="0"/>
        <v>68</v>
      </c>
      <c r="B17" s="39">
        <f t="shared" si="0"/>
        <v>68</v>
      </c>
      <c r="C17" s="33">
        <f t="shared" si="9"/>
        <v>41387.112000000001</v>
      </c>
      <c r="D17" s="24"/>
      <c r="E17" s="23">
        <f t="shared" si="3"/>
        <v>38203.488000000005</v>
      </c>
      <c r="F17" s="25"/>
      <c r="G17" s="23">
        <f t="shared" si="4"/>
        <v>61683.849379397958</v>
      </c>
      <c r="H17" s="25"/>
      <c r="I17" s="23">
        <f t="shared" si="5"/>
        <v>38983.97934308822</v>
      </c>
      <c r="J17" s="25"/>
      <c r="K17" s="23">
        <f t="shared" si="6"/>
        <v>5473.0459272627359</v>
      </c>
      <c r="L17" s="25"/>
      <c r="M17" s="23">
        <f t="shared" si="7"/>
        <v>5473.0459272627359</v>
      </c>
      <c r="N17" s="25"/>
      <c r="O17" s="23">
        <f t="shared" si="7"/>
        <v>0</v>
      </c>
      <c r="P17" s="25"/>
      <c r="Q17" s="23">
        <f>SUM(C17:P17)</f>
        <v>191204.52057701169</v>
      </c>
      <c r="R17" s="25"/>
      <c r="S17" s="23">
        <f t="shared" si="1"/>
        <v>12746.968038467445</v>
      </c>
      <c r="T17" s="25"/>
      <c r="U17" s="23">
        <f t="shared" si="8"/>
        <v>10974.292805849784</v>
      </c>
      <c r="V17" s="27">
        <f>(C17+E17+G17)/12*0.8</f>
        <v>9418.2966252931983</v>
      </c>
      <c r="W17" s="28">
        <f t="shared" si="2"/>
        <v>0.73886563431169872</v>
      </c>
    </row>
    <row r="18" spans="1:23" x14ac:dyDescent="0.25">
      <c r="A18" s="38">
        <f t="shared" si="0"/>
        <v>69</v>
      </c>
      <c r="B18" s="39">
        <f t="shared" si="0"/>
        <v>69</v>
      </c>
      <c r="C18" s="33">
        <f t="shared" si="9"/>
        <v>42214.854240000001</v>
      </c>
      <c r="D18" s="24"/>
      <c r="E18" s="23">
        <f t="shared" si="3"/>
        <v>38967.557760000003</v>
      </c>
      <c r="F18" s="25"/>
      <c r="G18" s="23">
        <f t="shared" si="4"/>
        <v>62300.687873191935</v>
      </c>
      <c r="H18" s="25"/>
      <c r="I18" s="23">
        <f t="shared" si="5"/>
        <v>39763.658929949983</v>
      </c>
      <c r="J18" s="25"/>
      <c r="K18" s="23">
        <f t="shared" si="6"/>
        <v>5582.5068458079904</v>
      </c>
      <c r="L18" s="25"/>
      <c r="M18" s="23">
        <f t="shared" si="7"/>
        <v>5582.5068458079904</v>
      </c>
      <c r="N18" s="25"/>
      <c r="O18" s="23">
        <f t="shared" si="7"/>
        <v>0</v>
      </c>
      <c r="P18" s="25"/>
      <c r="Q18" s="23">
        <f>SUM(C18:P18)</f>
        <v>194411.77249475787</v>
      </c>
      <c r="R18" s="25"/>
      <c r="S18" s="23">
        <f t="shared" si="1"/>
        <v>12960.784832983858</v>
      </c>
      <c r="T18" s="25"/>
      <c r="U18" s="23">
        <f t="shared" si="8"/>
        <v>11248.650125996028</v>
      </c>
      <c r="V18" s="27">
        <f>(C18+E18+G18)/12*0.8</f>
        <v>9565.5399915461294</v>
      </c>
      <c r="W18" s="28">
        <f t="shared" si="2"/>
        <v>0.73803709534648076</v>
      </c>
    </row>
    <row r="19" spans="1:23" x14ac:dyDescent="0.25">
      <c r="A19" s="38">
        <f t="shared" si="0"/>
        <v>70</v>
      </c>
      <c r="B19" s="39">
        <f t="shared" si="0"/>
        <v>70</v>
      </c>
      <c r="C19" s="33">
        <f t="shared" si="9"/>
        <v>43059.151324800005</v>
      </c>
      <c r="D19" s="24"/>
      <c r="E19" s="23">
        <f t="shared" si="3"/>
        <v>39746.908915200002</v>
      </c>
      <c r="F19" s="25"/>
      <c r="G19" s="23">
        <f t="shared" si="4"/>
        <v>62923.694751923853</v>
      </c>
      <c r="H19" s="25"/>
      <c r="I19" s="23">
        <f t="shared" si="5"/>
        <v>40558.932108548986</v>
      </c>
      <c r="J19" s="25"/>
      <c r="K19" s="23">
        <f t="shared" si="6"/>
        <v>5694.1569827241501</v>
      </c>
      <c r="L19" s="25"/>
      <c r="M19" s="23">
        <f t="shared" si="7"/>
        <v>5694.1569827241501</v>
      </c>
      <c r="N19" s="25"/>
      <c r="O19" s="23">
        <f t="shared" si="7"/>
        <v>0</v>
      </c>
      <c r="P19" s="25"/>
      <c r="Q19" s="23">
        <f>SUM(C19:P19)</f>
        <v>197677.00106592115</v>
      </c>
      <c r="R19" s="25"/>
      <c r="S19" s="23">
        <f t="shared" si="1"/>
        <v>13178.466737728078</v>
      </c>
      <c r="T19" s="25"/>
      <c r="U19" s="23">
        <f t="shared" si="8"/>
        <v>11529.866379145928</v>
      </c>
      <c r="V19" s="27">
        <f>(C19+E19+G19)/12*0.8</f>
        <v>9715.316999461591</v>
      </c>
      <c r="W19" s="28">
        <f t="shared" si="2"/>
        <v>0.73721148239863277</v>
      </c>
    </row>
    <row r="20" spans="1:23" x14ac:dyDescent="0.25">
      <c r="A20" s="38">
        <f t="shared" si="0"/>
        <v>71</v>
      </c>
      <c r="B20" s="39">
        <f t="shared" si="0"/>
        <v>71</v>
      </c>
      <c r="C20" s="33">
        <f t="shared" si="9"/>
        <v>43920.334351296005</v>
      </c>
      <c r="D20" s="25"/>
      <c r="E20" s="23">
        <f t="shared" si="3"/>
        <v>40541.847093504002</v>
      </c>
      <c r="F20" s="25"/>
      <c r="G20" s="23">
        <f t="shared" si="4"/>
        <v>63552.931699443092</v>
      </c>
      <c r="H20" s="25"/>
      <c r="I20" s="23">
        <f t="shared" si="5"/>
        <v>41370.11075071997</v>
      </c>
      <c r="J20" s="25"/>
      <c r="K20" s="23">
        <f t="shared" si="6"/>
        <v>5808.040122378633</v>
      </c>
      <c r="L20" s="25"/>
      <c r="M20" s="23">
        <f t="shared" si="7"/>
        <v>5808.040122378633</v>
      </c>
      <c r="N20" s="25"/>
      <c r="O20" s="23">
        <f t="shared" si="7"/>
        <v>0</v>
      </c>
      <c r="P20" s="25"/>
      <c r="Q20" s="23">
        <f>SUM(C20:P20)</f>
        <v>201001.30413972036</v>
      </c>
      <c r="R20" s="25"/>
      <c r="S20" s="23">
        <f t="shared" si="1"/>
        <v>13400.086942648026</v>
      </c>
      <c r="T20" s="25"/>
      <c r="U20" s="23">
        <f t="shared" si="8"/>
        <v>11818.113038624575</v>
      </c>
      <c r="V20" s="27">
        <f>(C20+E20+G20)/12*0.8</f>
        <v>9867.674209616207</v>
      </c>
      <c r="W20" s="28">
        <f t="shared" si="2"/>
        <v>0.73638881985240545</v>
      </c>
    </row>
    <row r="21" spans="1:23" x14ac:dyDescent="0.25">
      <c r="A21" s="38">
        <f t="shared" si="0"/>
        <v>72</v>
      </c>
      <c r="B21" s="39">
        <f t="shared" si="0"/>
        <v>72</v>
      </c>
      <c r="C21" s="33">
        <f t="shared" si="9"/>
        <v>44798.741038321925</v>
      </c>
      <c r="D21" s="25"/>
      <c r="E21" s="23">
        <f t="shared" si="3"/>
        <v>41352.684035374084</v>
      </c>
      <c r="F21" s="25"/>
      <c r="G21" s="23">
        <f t="shared" si="4"/>
        <v>64188.461016437526</v>
      </c>
      <c r="H21" s="25"/>
      <c r="I21" s="23">
        <f t="shared" si="5"/>
        <v>42197.512965734371</v>
      </c>
      <c r="J21" s="25"/>
      <c r="K21" s="23">
        <f t="shared" si="6"/>
        <v>5924.2009248262057</v>
      </c>
      <c r="L21" s="25"/>
      <c r="M21" s="23">
        <f t="shared" si="7"/>
        <v>5924.2009248262057</v>
      </c>
      <c r="N21" s="25"/>
      <c r="O21" s="23">
        <f t="shared" si="7"/>
        <v>0</v>
      </c>
      <c r="P21" s="25"/>
      <c r="Q21" s="23">
        <f>SUM(C21:P21)</f>
        <v>204385.80090552033</v>
      </c>
      <c r="R21" s="25"/>
      <c r="S21" s="23">
        <f t="shared" si="1"/>
        <v>13625.720060368023</v>
      </c>
      <c r="T21" s="25"/>
      <c r="U21" s="23">
        <f t="shared" si="8"/>
        <v>12113.565864590188</v>
      </c>
      <c r="V21" s="27">
        <f>(C21+E21+G21)/12*0.8</f>
        <v>10022.659072675569</v>
      </c>
      <c r="W21" s="28">
        <f t="shared" si="2"/>
        <v>0.73556913163272952</v>
      </c>
    </row>
    <row r="22" spans="1:23" x14ac:dyDescent="0.25">
      <c r="A22" s="38">
        <f t="shared" si="0"/>
        <v>73</v>
      </c>
      <c r="B22" s="39">
        <f t="shared" si="0"/>
        <v>73</v>
      </c>
      <c r="C22" s="33">
        <f t="shared" si="9"/>
        <v>45694.715859088363</v>
      </c>
      <c r="D22" s="25"/>
      <c r="E22" s="23">
        <f t="shared" si="3"/>
        <v>42179.737716081567</v>
      </c>
      <c r="F22" s="25"/>
      <c r="G22" s="23">
        <f t="shared" si="4"/>
        <v>64830.345626601906</v>
      </c>
      <c r="H22" s="25"/>
      <c r="I22" s="23">
        <f t="shared" si="5"/>
        <v>43041.463225049061</v>
      </c>
      <c r="J22" s="25"/>
      <c r="K22" s="23">
        <f t="shared" si="6"/>
        <v>6042.6849433227299</v>
      </c>
      <c r="L22" s="25"/>
      <c r="M22" s="23">
        <f t="shared" si="7"/>
        <v>6042.6849433227299</v>
      </c>
      <c r="N22" s="25"/>
      <c r="O22" s="23">
        <f t="shared" si="7"/>
        <v>0</v>
      </c>
      <c r="P22" s="25"/>
      <c r="Q22" s="23">
        <f>SUM(C22:P22)</f>
        <v>207831.63231346637</v>
      </c>
      <c r="R22" s="25"/>
      <c r="S22" s="23">
        <f t="shared" si="1"/>
        <v>13855.442154231094</v>
      </c>
      <c r="T22" s="25"/>
      <c r="U22" s="23">
        <f t="shared" si="8"/>
        <v>12416.405011204941</v>
      </c>
      <c r="V22" s="27">
        <f>(C22+E22+G22)/12*0.8</f>
        <v>10180.31994678479</v>
      </c>
      <c r="W22" s="28">
        <f t="shared" si="2"/>
        <v>0.73475244120419381</v>
      </c>
    </row>
    <row r="23" spans="1:23" x14ac:dyDescent="0.25">
      <c r="A23" s="38">
        <f t="shared" si="0"/>
        <v>74</v>
      </c>
      <c r="B23" s="39">
        <f t="shared" si="0"/>
        <v>74</v>
      </c>
      <c r="C23" s="33">
        <f t="shared" si="9"/>
        <v>46608.610176270129</v>
      </c>
      <c r="D23" s="25"/>
      <c r="E23" s="23">
        <f t="shared" si="3"/>
        <v>43023.332470403198</v>
      </c>
      <c r="F23" s="25"/>
      <c r="G23" s="23">
        <f t="shared" si="4"/>
        <v>65478.649082867923</v>
      </c>
      <c r="H23" s="25"/>
      <c r="I23" s="23">
        <f t="shared" si="5"/>
        <v>43902.29248955004</v>
      </c>
      <c r="J23" s="25"/>
      <c r="K23" s="23">
        <f t="shared" si="6"/>
        <v>6163.5386421891844</v>
      </c>
      <c r="L23" s="25"/>
      <c r="M23" s="23">
        <f t="shared" si="7"/>
        <v>6163.5386421891844</v>
      </c>
      <c r="N23" s="25"/>
      <c r="O23" s="23">
        <f t="shared" si="7"/>
        <v>0</v>
      </c>
      <c r="P23" s="25"/>
      <c r="Q23" s="23">
        <f>SUM(C23:P23)</f>
        <v>211339.96150346965</v>
      </c>
      <c r="R23" s="25"/>
      <c r="S23" s="23">
        <f t="shared" si="1"/>
        <v>14089.330766897978</v>
      </c>
      <c r="T23" s="25"/>
      <c r="U23" s="23">
        <f t="shared" si="8"/>
        <v>12726.815136485064</v>
      </c>
      <c r="V23" s="27">
        <f>(C23+E23+G23)/12*0.8</f>
        <v>10340.706115302752</v>
      </c>
      <c r="W23" s="28">
        <f t="shared" si="2"/>
        <v>0.7339387715701593</v>
      </c>
    </row>
    <row r="24" spans="1:23" x14ac:dyDescent="0.25">
      <c r="A24" s="38">
        <f t="shared" si="0"/>
        <v>75</v>
      </c>
      <c r="B24" s="39">
        <f t="shared" si="0"/>
        <v>75</v>
      </c>
      <c r="C24" s="33">
        <f t="shared" si="9"/>
        <v>47540.782379795535</v>
      </c>
      <c r="D24" s="25"/>
      <c r="E24" s="23">
        <f t="shared" si="3"/>
        <v>43883.799119811265</v>
      </c>
      <c r="F24" s="25"/>
      <c r="G24" s="23">
        <f t="shared" si="4"/>
        <v>66133.43557369661</v>
      </c>
      <c r="H24" s="25"/>
      <c r="I24" s="23">
        <f t="shared" si="5"/>
        <v>44780.33833934104</v>
      </c>
      <c r="J24" s="25"/>
      <c r="K24" s="23">
        <f t="shared" si="6"/>
        <v>6286.809415032968</v>
      </c>
      <c r="L24" s="25"/>
      <c r="M24" s="23">
        <f t="shared" si="7"/>
        <v>6286.809415032968</v>
      </c>
      <c r="N24" s="25"/>
      <c r="O24" s="23">
        <f t="shared" si="7"/>
        <v>0</v>
      </c>
      <c r="P24" s="25"/>
      <c r="Q24" s="23">
        <f>SUM(C24:P24)</f>
        <v>214911.97424271039</v>
      </c>
      <c r="R24" s="25"/>
      <c r="S24" s="23">
        <f t="shared" si="1"/>
        <v>14327.464949514027</v>
      </c>
      <c r="T24" s="25"/>
      <c r="U24" s="23">
        <f t="shared" si="8"/>
        <v>13044.985514897189</v>
      </c>
      <c r="V24" s="27">
        <f>(C24+E24+G24)/12*0.8</f>
        <v>10503.867804886895</v>
      </c>
      <c r="W24" s="28">
        <f t="shared" si="2"/>
        <v>0.73312814527200609</v>
      </c>
    </row>
    <row r="25" spans="1:23" x14ac:dyDescent="0.25">
      <c r="A25" s="38">
        <f t="shared" si="0"/>
        <v>76</v>
      </c>
      <c r="B25" s="39">
        <f t="shared" si="0"/>
        <v>76</v>
      </c>
      <c r="C25" s="33">
        <f t="shared" si="9"/>
        <v>48491.598027391447</v>
      </c>
      <c r="D25" s="25"/>
      <c r="E25" s="23">
        <f t="shared" si="3"/>
        <v>44761.475102207492</v>
      </c>
      <c r="F25" s="25"/>
      <c r="G25" s="23">
        <f t="shared" si="4"/>
        <v>66794.769929433576</v>
      </c>
      <c r="H25" s="25"/>
      <c r="I25" s="23">
        <f t="shared" si="5"/>
        <v>45675.94510612786</v>
      </c>
      <c r="J25" s="25"/>
      <c r="K25" s="23">
        <f t="shared" si="6"/>
        <v>6412.5456033336277</v>
      </c>
      <c r="L25" s="25"/>
      <c r="M25" s="23">
        <f t="shared" si="7"/>
        <v>6412.5456033336277</v>
      </c>
      <c r="N25" s="25"/>
      <c r="O25" s="23">
        <f t="shared" si="7"/>
        <v>0</v>
      </c>
      <c r="P25" s="25"/>
      <c r="Q25" s="23">
        <f>SUM(C25:P25)</f>
        <v>218548.87937182761</v>
      </c>
      <c r="R25" s="25"/>
      <c r="S25" s="23">
        <f t="shared" si="1"/>
        <v>14569.925291455176</v>
      </c>
      <c r="T25" s="25"/>
      <c r="U25" s="23">
        <f t="shared" si="8"/>
        <v>13371.110152769617</v>
      </c>
      <c r="V25" s="27">
        <f>(C25+E25+G25)/12*0.8</f>
        <v>10669.856203935502</v>
      </c>
      <c r="W25" s="28">
        <f t="shared" si="2"/>
        <v>0.73232058438851788</v>
      </c>
    </row>
    <row r="26" spans="1:23" x14ac:dyDescent="0.25">
      <c r="A26" s="38">
        <f t="shared" si="0"/>
        <v>77</v>
      </c>
      <c r="B26" s="39">
        <f t="shared" si="0"/>
        <v>77</v>
      </c>
      <c r="C26" s="33">
        <f t="shared" si="9"/>
        <v>49461.429987939278</v>
      </c>
      <c r="D26" s="25"/>
      <c r="E26" s="23">
        <f t="shared" si="3"/>
        <v>45656.704604251645</v>
      </c>
      <c r="F26" s="25"/>
      <c r="G26" s="23">
        <f t="shared" si="4"/>
        <v>67462.717628727914</v>
      </c>
      <c r="H26" s="25"/>
      <c r="I26" s="23">
        <f t="shared" si="5"/>
        <v>46589.464008250419</v>
      </c>
      <c r="J26" s="25"/>
      <c r="K26" s="23">
        <f t="shared" si="6"/>
        <v>6540.7965154003004</v>
      </c>
      <c r="L26" s="25"/>
      <c r="M26" s="23">
        <f t="shared" si="7"/>
        <v>6540.7965154003004</v>
      </c>
      <c r="N26" s="25"/>
      <c r="O26" s="23">
        <f t="shared" si="7"/>
        <v>0</v>
      </c>
      <c r="P26" s="25"/>
      <c r="Q26" s="23">
        <f>SUM(C26:P26)</f>
        <v>222251.90925996983</v>
      </c>
      <c r="R26" s="25"/>
      <c r="S26" s="23">
        <f t="shared" si="1"/>
        <v>14816.793950664656</v>
      </c>
      <c r="T26" s="25"/>
      <c r="U26" s="23">
        <f t="shared" si="8"/>
        <v>13705.387906588856</v>
      </c>
      <c r="V26" s="27">
        <f>(C26+E26+G26)/12*0.8</f>
        <v>10838.723481394591</v>
      </c>
      <c r="W26" s="28">
        <f t="shared" si="2"/>
        <v>0.73151611053539578</v>
      </c>
    </row>
    <row r="27" spans="1:23" x14ac:dyDescent="0.25">
      <c r="A27" s="38">
        <f t="shared" si="0"/>
        <v>78</v>
      </c>
      <c r="B27" s="39">
        <f t="shared" si="0"/>
        <v>78</v>
      </c>
      <c r="C27" s="33">
        <f t="shared" si="9"/>
        <v>50450.658587698068</v>
      </c>
      <c r="D27" s="25"/>
      <c r="E27" s="23">
        <f t="shared" si="3"/>
        <v>46569.838696336679</v>
      </c>
      <c r="F27" s="25"/>
      <c r="G27" s="23">
        <f t="shared" si="4"/>
        <v>68137.344805015193</v>
      </c>
      <c r="H27" s="25"/>
      <c r="I27" s="23">
        <f t="shared" si="5"/>
        <v>47521.253288415428</v>
      </c>
      <c r="J27" s="25"/>
      <c r="K27" s="23">
        <f t="shared" si="6"/>
        <v>6671.612445708307</v>
      </c>
      <c r="L27" s="25"/>
      <c r="M27" s="23">
        <f t="shared" si="7"/>
        <v>6671.612445708307</v>
      </c>
      <c r="N27" s="25"/>
      <c r="O27" s="23">
        <f t="shared" si="7"/>
        <v>0</v>
      </c>
      <c r="P27" s="25"/>
      <c r="Q27" s="23">
        <f>SUM(C27:P27)</f>
        <v>226022.32026888197</v>
      </c>
      <c r="R27" s="25"/>
      <c r="S27" s="23">
        <f t="shared" si="1"/>
        <v>15068.154684592133</v>
      </c>
      <c r="T27" s="25"/>
      <c r="U27" s="23">
        <f t="shared" si="8"/>
        <v>14048.022604253576</v>
      </c>
      <c r="V27" s="27">
        <f>(C27+E27+G27)/12*0.8</f>
        <v>11010.522805936664</v>
      </c>
      <c r="W27" s="28">
        <f t="shared" si="2"/>
        <v>0.73071474486490495</v>
      </c>
    </row>
    <row r="28" spans="1:23" x14ac:dyDescent="0.25">
      <c r="A28" s="38">
        <f t="shared" si="0"/>
        <v>79</v>
      </c>
      <c r="B28" s="39">
        <f t="shared" si="0"/>
        <v>79</v>
      </c>
      <c r="C28" s="33">
        <f t="shared" si="9"/>
        <v>51459.671759452031</v>
      </c>
      <c r="D28" s="25"/>
      <c r="E28" s="23">
        <f t="shared" si="3"/>
        <v>47501.235470263411</v>
      </c>
      <c r="F28" s="25"/>
      <c r="G28" s="23">
        <f t="shared" si="4"/>
        <v>68818.718253065352</v>
      </c>
      <c r="H28" s="25"/>
      <c r="I28" s="23">
        <f t="shared" si="5"/>
        <v>48471.678354183736</v>
      </c>
      <c r="J28" s="25"/>
      <c r="K28" s="23">
        <f t="shared" si="6"/>
        <v>6805.0446946224729</v>
      </c>
      <c r="L28" s="25"/>
      <c r="M28" s="23">
        <f t="shared" si="7"/>
        <v>6805.0446946224729</v>
      </c>
      <c r="N28" s="25"/>
      <c r="O28" s="23">
        <f t="shared" si="7"/>
        <v>0</v>
      </c>
      <c r="P28" s="25"/>
      <c r="Q28" s="23">
        <f>SUM(C28:P28)</f>
        <v>229861.3932262095</v>
      </c>
      <c r="R28" s="25"/>
      <c r="S28" s="23">
        <f t="shared" si="1"/>
        <v>15324.092881747301</v>
      </c>
      <c r="T28" s="25"/>
      <c r="U28" s="23">
        <f t="shared" si="8"/>
        <v>14399.223169359913</v>
      </c>
      <c r="V28" s="27">
        <f>(C28+E28+G28)/12*0.8</f>
        <v>11185.308365518722</v>
      </c>
      <c r="W28" s="28">
        <f t="shared" si="2"/>
        <v>0.72991650806565311</v>
      </c>
    </row>
    <row r="29" spans="1:23" x14ac:dyDescent="0.25">
      <c r="A29" s="38">
        <f t="shared" si="0"/>
        <v>80</v>
      </c>
      <c r="B29" s="39">
        <f t="shared" si="0"/>
        <v>80</v>
      </c>
      <c r="C29" s="33">
        <f t="shared" si="9"/>
        <v>52488.865194641076</v>
      </c>
      <c r="D29" s="25"/>
      <c r="E29" s="23">
        <f t="shared" si="3"/>
        <v>48451.260179668679</v>
      </c>
      <c r="F29" s="25"/>
      <c r="G29" s="23">
        <f t="shared" si="4"/>
        <v>69506.905435596011</v>
      </c>
      <c r="H29" s="25"/>
      <c r="I29" s="23">
        <f t="shared" si="5"/>
        <v>49441.111921267409</v>
      </c>
      <c r="J29" s="25"/>
      <c r="K29" s="23">
        <f t="shared" si="6"/>
        <v>6941.1455885149226</v>
      </c>
      <c r="L29" s="25"/>
      <c r="M29" s="23">
        <f t="shared" si="7"/>
        <v>6941.1455885149226</v>
      </c>
      <c r="N29" s="25"/>
      <c r="O29" s="23">
        <f t="shared" si="7"/>
        <v>0</v>
      </c>
      <c r="P29" s="25"/>
      <c r="Q29" s="23">
        <f>SUM(C29:P29)</f>
        <v>233770.43390820301</v>
      </c>
      <c r="R29" s="25"/>
      <c r="S29" s="23">
        <f t="shared" si="1"/>
        <v>15584.6955938802</v>
      </c>
      <c r="T29" s="25"/>
      <c r="U29" s="23">
        <f t="shared" si="8"/>
        <v>14759.203748593909</v>
      </c>
      <c r="V29" s="27">
        <f>(C29+E29+G29)/12*0.8</f>
        <v>11363.135387327051</v>
      </c>
      <c r="W29" s="28">
        <f t="shared" si="2"/>
        <v>0.72912142036249517</v>
      </c>
    </row>
    <row r="30" spans="1:23" x14ac:dyDescent="0.25">
      <c r="A30" s="38">
        <f t="shared" si="0"/>
        <v>81</v>
      </c>
      <c r="B30" s="39">
        <f t="shared" si="0"/>
        <v>81</v>
      </c>
      <c r="C30" s="33">
        <f t="shared" si="9"/>
        <v>53538.642498533896</v>
      </c>
      <c r="D30" s="25"/>
      <c r="E30" s="23">
        <f t="shared" si="3"/>
        <v>49420.285383262053</v>
      </c>
      <c r="F30" s="25"/>
      <c r="G30" s="23">
        <f t="shared" si="4"/>
        <v>70201.974489951972</v>
      </c>
      <c r="H30" s="25"/>
      <c r="I30" s="23">
        <f t="shared" si="5"/>
        <v>50429.934159692755</v>
      </c>
      <c r="J30" s="25"/>
      <c r="K30" s="23">
        <f t="shared" si="6"/>
        <v>7079.9685002852211</v>
      </c>
      <c r="L30" s="25"/>
      <c r="M30" s="23">
        <f t="shared" si="7"/>
        <v>7079.9685002852211</v>
      </c>
      <c r="N30" s="25"/>
      <c r="O30" s="23">
        <f t="shared" si="7"/>
        <v>0</v>
      </c>
      <c r="P30" s="25"/>
      <c r="Q30" s="23">
        <f>SUM(C30:P30)</f>
        <v>237750.77353201114</v>
      </c>
      <c r="R30" s="25"/>
      <c r="S30" s="23">
        <f t="shared" si="1"/>
        <v>15850.051568800744</v>
      </c>
      <c r="T30" s="25"/>
      <c r="U30" s="23">
        <f t="shared" si="8"/>
        <v>15128.183842308756</v>
      </c>
      <c r="V30" s="27">
        <f>(C30+E30+G30)/12*0.8</f>
        <v>11544.060158116528</v>
      </c>
      <c r="W30" s="28">
        <f t="shared" si="2"/>
        <v>0.72832950151656717</v>
      </c>
    </row>
    <row r="31" spans="1:23" ht="15.75" thickBot="1" x14ac:dyDescent="0.3">
      <c r="A31" s="40">
        <f t="shared" si="0"/>
        <v>82</v>
      </c>
      <c r="B31" s="41">
        <f t="shared" si="0"/>
        <v>82</v>
      </c>
      <c r="C31" s="33">
        <f t="shared" si="9"/>
        <v>54609.415348504575</v>
      </c>
      <c r="D31" s="25"/>
      <c r="E31" s="23">
        <f t="shared" si="3"/>
        <v>50408.691090927292</v>
      </c>
      <c r="F31" s="25"/>
      <c r="G31" s="23">
        <f>G30*1.01</f>
        <v>70903.994234851489</v>
      </c>
      <c r="H31" s="25"/>
      <c r="I31" s="23">
        <f t="shared" si="5"/>
        <v>51438.532842886612</v>
      </c>
      <c r="J31" s="25"/>
      <c r="K31" s="23">
        <f t="shared" si="6"/>
        <v>7221.5678702909254</v>
      </c>
      <c r="L31" s="25"/>
      <c r="M31" s="23">
        <f t="shared" si="7"/>
        <v>7221.5678702909254</v>
      </c>
      <c r="N31" s="25"/>
      <c r="O31" s="23">
        <f t="shared" si="7"/>
        <v>0</v>
      </c>
      <c r="P31" s="25"/>
      <c r="Q31" s="23">
        <f>SUM(C31:P31)</f>
        <v>241803.76925775179</v>
      </c>
      <c r="R31" s="25"/>
      <c r="S31" s="23">
        <f t="shared" si="1"/>
        <v>16120.251283850121</v>
      </c>
      <c r="T31" s="25"/>
      <c r="U31" s="23">
        <f t="shared" si="8"/>
        <v>15506.388438366474</v>
      </c>
      <c r="V31" s="27">
        <f>(C31+E31+G31)/12*0.8</f>
        <v>11728.140044952224</v>
      </c>
      <c r="W31" s="28">
        <f t="shared" si="2"/>
        <v>0.72754077082544732</v>
      </c>
    </row>
  </sheetData>
  <mergeCells count="3">
    <mergeCell ref="C1:U1"/>
    <mergeCell ref="V2:W2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1134-7696-4D8C-A27E-EFCC4734B406}">
  <dimension ref="A1:Y32"/>
  <sheetViews>
    <sheetView workbookViewId="0">
      <selection activeCell="I8" sqref="I8"/>
    </sheetView>
  </sheetViews>
  <sheetFormatPr defaultColWidth="7" defaultRowHeight="15" x14ac:dyDescent="0.25"/>
  <cols>
    <col min="1" max="2" width="4.85546875" style="1" customWidth="1"/>
    <col min="3" max="3" width="15.140625" style="2" customWidth="1"/>
    <col min="4" max="4" width="3.28515625" style="2" customWidth="1"/>
    <col min="5" max="5" width="15.85546875" style="2" bestFit="1" customWidth="1"/>
    <col min="6" max="6" width="3.5703125" style="2" customWidth="1"/>
    <col min="7" max="7" width="15.85546875" style="2" bestFit="1" customWidth="1"/>
    <col min="8" max="8" width="3.5703125" style="2" customWidth="1"/>
    <col min="9" max="9" width="15.85546875" style="2" bestFit="1" customWidth="1"/>
    <col min="10" max="10" width="3.5703125" style="2" customWidth="1"/>
    <col min="11" max="11" width="15.85546875" style="2" bestFit="1" customWidth="1"/>
    <col min="12" max="12" width="3.5703125" style="2" customWidth="1"/>
    <col min="13" max="13" width="15.85546875" style="2" bestFit="1" customWidth="1"/>
    <col min="14" max="14" width="3.5703125" style="2" customWidth="1"/>
    <col min="15" max="15" width="15.85546875" style="2" bestFit="1" customWidth="1"/>
    <col min="16" max="16" width="3.5703125" style="2" customWidth="1"/>
    <col min="17" max="17" width="15.85546875" style="2" bestFit="1" customWidth="1"/>
    <col min="18" max="18" width="3" style="2" hidden="1" customWidth="1"/>
    <col min="19" max="19" width="11.140625" style="2" hidden="1" customWidth="1"/>
    <col min="20" max="20" width="3" style="2" customWidth="1"/>
    <col min="21" max="21" width="11.140625" style="2" bestFit="1" customWidth="1"/>
    <col min="22" max="22" width="3" style="2" customWidth="1"/>
    <col min="23" max="23" width="11.140625" style="2" customWidth="1"/>
    <col min="24" max="24" width="9.85546875" style="2" customWidth="1"/>
    <col min="25" max="25" width="8.28515625" style="2" customWidth="1"/>
    <col min="26" max="26" width="11.140625" style="2" bestFit="1" customWidth="1"/>
    <col min="27" max="16384" width="7" style="2"/>
  </cols>
  <sheetData>
    <row r="1" spans="1:25" ht="19.5" thickBot="1" x14ac:dyDescent="0.35">
      <c r="C1" s="46" t="s">
        <v>11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</row>
    <row r="2" spans="1:25" s="10" customFormat="1" ht="45" x14ac:dyDescent="0.25">
      <c r="A2" s="49" t="s">
        <v>0</v>
      </c>
      <c r="B2" s="50"/>
      <c r="C2" s="29" t="s">
        <v>7</v>
      </c>
      <c r="D2" s="4"/>
      <c r="E2" s="3" t="s">
        <v>5</v>
      </c>
      <c r="F2" s="5"/>
      <c r="G2" s="3" t="s">
        <v>6</v>
      </c>
      <c r="H2" s="5"/>
      <c r="I2" s="3" t="s">
        <v>14</v>
      </c>
      <c r="J2" s="5"/>
      <c r="K2" s="6" t="s">
        <v>8</v>
      </c>
      <c r="L2" s="5"/>
      <c r="M2" s="6" t="s">
        <v>9</v>
      </c>
      <c r="N2" s="5"/>
      <c r="O2" s="6" t="s">
        <v>10</v>
      </c>
      <c r="P2" s="5"/>
      <c r="Q2" s="6" t="s">
        <v>12</v>
      </c>
      <c r="R2" s="7"/>
      <c r="S2" s="8" t="s">
        <v>1</v>
      </c>
      <c r="T2" s="7"/>
      <c r="U2" s="8" t="s">
        <v>2</v>
      </c>
      <c r="V2" s="7"/>
      <c r="W2" s="9" t="s">
        <v>3</v>
      </c>
      <c r="X2" s="47" t="s">
        <v>4</v>
      </c>
      <c r="Y2" s="48"/>
    </row>
    <row r="3" spans="1:25" s="10" customFormat="1" x14ac:dyDescent="0.25">
      <c r="A3" s="34"/>
      <c r="B3" s="35"/>
      <c r="C3" s="30"/>
      <c r="D3" s="11"/>
      <c r="E3" s="12"/>
      <c r="F3" s="13"/>
      <c r="G3" s="12"/>
      <c r="H3" s="13"/>
      <c r="I3" s="12"/>
      <c r="J3" s="13"/>
      <c r="K3" s="12">
        <v>7.0000000000000007E-2</v>
      </c>
      <c r="L3" s="13"/>
      <c r="M3" s="12">
        <v>7.0000000000000007E-2</v>
      </c>
      <c r="N3" s="13"/>
      <c r="O3" s="12">
        <v>0.08</v>
      </c>
      <c r="P3" s="13"/>
      <c r="Q3" s="12">
        <v>7.0000000000000007E-2</v>
      </c>
      <c r="R3" s="11"/>
      <c r="S3" s="14"/>
      <c r="T3" s="11"/>
      <c r="U3" s="14"/>
      <c r="V3" s="11"/>
      <c r="W3" s="45">
        <v>2.5000000000000001E-2</v>
      </c>
      <c r="X3" s="16"/>
      <c r="Y3" s="17"/>
    </row>
    <row r="4" spans="1:25" s="10" customFormat="1" x14ac:dyDescent="0.25">
      <c r="A4" s="34">
        <v>59</v>
      </c>
      <c r="B4" s="35">
        <v>57</v>
      </c>
      <c r="C4" s="31"/>
      <c r="E4" s="42"/>
      <c r="G4" s="18"/>
      <c r="I4" s="18">
        <v>400000</v>
      </c>
      <c r="K4" s="18">
        <v>500000</v>
      </c>
      <c r="M4" s="18">
        <v>100000</v>
      </c>
      <c r="O4" s="18">
        <v>100000</v>
      </c>
      <c r="Q4" s="18" t="s">
        <v>15</v>
      </c>
      <c r="S4" s="19"/>
      <c r="U4" s="19"/>
      <c r="W4" s="15"/>
      <c r="X4" s="16"/>
      <c r="Y4" s="17"/>
    </row>
    <row r="5" spans="1:25" s="10" customFormat="1" x14ac:dyDescent="0.25">
      <c r="A5" s="34"/>
      <c r="B5" s="35"/>
      <c r="C5" s="32"/>
      <c r="E5" s="21"/>
      <c r="G5" s="21"/>
      <c r="I5" s="21"/>
      <c r="K5" s="44"/>
      <c r="M5" s="44"/>
      <c r="O5" s="44"/>
      <c r="Q5" s="21"/>
      <c r="S5" s="20"/>
      <c r="U5" s="20" t="s">
        <v>13</v>
      </c>
      <c r="W5" s="21">
        <v>8000</v>
      </c>
      <c r="X5" s="16"/>
      <c r="Y5" s="22"/>
    </row>
    <row r="6" spans="1:25" s="10" customFormat="1" ht="16.5" customHeight="1" x14ac:dyDescent="0.25">
      <c r="A6" s="34"/>
      <c r="B6" s="35"/>
      <c r="C6" s="32"/>
      <c r="E6" s="21"/>
      <c r="G6" s="21"/>
      <c r="I6" s="21"/>
      <c r="K6" s="21"/>
      <c r="M6" s="21"/>
      <c r="O6" s="21"/>
      <c r="Q6" s="21"/>
      <c r="S6" s="20"/>
      <c r="U6" s="20"/>
      <c r="W6" s="20"/>
      <c r="X6" s="16"/>
      <c r="Y6" s="22"/>
    </row>
    <row r="7" spans="1:25" s="10" customFormat="1" x14ac:dyDescent="0.25">
      <c r="A7" s="36"/>
      <c r="B7" s="37"/>
      <c r="C7" s="32"/>
      <c r="E7" s="21"/>
      <c r="G7" s="21">
        <f>FV(G3,12,0,G4,0)*-1</f>
        <v>0</v>
      </c>
      <c r="I7" s="21">
        <f>FV(I3,12,0,I4,0)*-1</f>
        <v>400000</v>
      </c>
      <c r="K7" s="21">
        <f>FV(K3,2,27500,K4,0)*-1</f>
        <v>629375</v>
      </c>
      <c r="M7" s="21">
        <f>FV(M3,2,0,M4,0)*-1</f>
        <v>114490</v>
      </c>
      <c r="O7" s="21">
        <f>FV(O3,2,0,O4,0)*-1</f>
        <v>116640.00000000001</v>
      </c>
      <c r="Q7" s="21">
        <v>0</v>
      </c>
      <c r="S7" s="20"/>
      <c r="U7" s="20"/>
      <c r="W7" s="21">
        <f>FV(W3,3,0,W5,0)*-1</f>
        <v>8615.1249999999982</v>
      </c>
      <c r="X7" s="16"/>
      <c r="Y7" s="17"/>
    </row>
    <row r="8" spans="1:25" x14ac:dyDescent="0.25">
      <c r="A8" s="38">
        <v>60</v>
      </c>
      <c r="B8" s="39">
        <v>58</v>
      </c>
      <c r="C8" s="43">
        <v>0</v>
      </c>
      <c r="D8" s="24"/>
      <c r="E8" s="23">
        <f>60000</f>
        <v>60000</v>
      </c>
      <c r="F8" s="25"/>
      <c r="G8" s="23">
        <f>4700*12</f>
        <v>56400</v>
      </c>
      <c r="H8" s="25"/>
      <c r="I8" s="23">
        <v>25500</v>
      </c>
      <c r="J8" s="25"/>
      <c r="K8" s="23">
        <v>0</v>
      </c>
      <c r="L8" s="25"/>
      <c r="M8" s="23">
        <v>0</v>
      </c>
      <c r="N8" s="25"/>
      <c r="O8" s="23">
        <v>0</v>
      </c>
      <c r="P8" s="25"/>
      <c r="Q8" s="23">
        <f>Q7*4%</f>
        <v>0</v>
      </c>
      <c r="R8" s="26"/>
      <c r="S8" s="23">
        <f>SUM(C8:R8)</f>
        <v>141900</v>
      </c>
      <c r="T8" s="26"/>
      <c r="U8" s="23">
        <f>S8*0.85/12</f>
        <v>10051.25</v>
      </c>
      <c r="V8" s="26"/>
      <c r="W8" s="23">
        <f>W7*1.02</f>
        <v>8787.427499999998</v>
      </c>
      <c r="X8" s="27">
        <f>(C8+E8+G8+I8)/12*0.8</f>
        <v>9460</v>
      </c>
      <c r="Y8" s="28">
        <f>X8/U8</f>
        <v>0.94117647058823528</v>
      </c>
    </row>
    <row r="9" spans="1:25" x14ac:dyDescent="0.25">
      <c r="A9" s="38">
        <f t="shared" ref="A9:B24" si="0">A8+1</f>
        <v>61</v>
      </c>
      <c r="B9" s="39">
        <f t="shared" si="0"/>
        <v>59</v>
      </c>
      <c r="C9" s="33">
        <v>0</v>
      </c>
      <c r="D9" s="24"/>
      <c r="E9" s="23">
        <f>E8*1.02</f>
        <v>61200</v>
      </c>
      <c r="F9" s="25"/>
      <c r="G9" s="23">
        <f>G8*1.01</f>
        <v>56964</v>
      </c>
      <c r="H9" s="25"/>
      <c r="I9" s="23">
        <f>I8</f>
        <v>25500</v>
      </c>
      <c r="J9" s="25"/>
      <c r="K9" s="23">
        <f>K8*1.02</f>
        <v>0</v>
      </c>
      <c r="L9" s="25"/>
      <c r="M9" s="23">
        <f>M8*1.02</f>
        <v>0</v>
      </c>
      <c r="N9" s="25"/>
      <c r="O9" s="23">
        <f>O8*1.02</f>
        <v>0</v>
      </c>
      <c r="P9" s="25"/>
      <c r="Q9" s="23">
        <f>Q8*1.02</f>
        <v>0</v>
      </c>
      <c r="R9" s="25"/>
      <c r="S9" s="23">
        <f>SUM(C9:R9)</f>
        <v>143664</v>
      </c>
      <c r="T9" s="25"/>
      <c r="U9" s="23">
        <f t="shared" ref="U9:U31" si="1">S9*0.8/12</f>
        <v>9577.6</v>
      </c>
      <c r="V9" s="25"/>
      <c r="W9" s="23">
        <f>W8*(1+$W$3)</f>
        <v>9007.1131874999974</v>
      </c>
      <c r="X9" s="27">
        <f t="shared" ref="X9:X31" si="2">(C9+E9+G9+I9)/12*0.8</f>
        <v>9577.6</v>
      </c>
      <c r="Y9" s="28">
        <f t="shared" ref="Y9:Y31" si="3">X9/U9</f>
        <v>1</v>
      </c>
    </row>
    <row r="10" spans="1:25" x14ac:dyDescent="0.25">
      <c r="A10" s="38">
        <f t="shared" si="0"/>
        <v>62</v>
      </c>
      <c r="B10" s="39">
        <f t="shared" si="0"/>
        <v>60</v>
      </c>
      <c r="C10" s="33">
        <v>0</v>
      </c>
      <c r="D10" s="24"/>
      <c r="E10" s="23">
        <f t="shared" ref="E10:E31" si="4">E9*1.02</f>
        <v>62424</v>
      </c>
      <c r="F10" s="25"/>
      <c r="G10" s="23">
        <f t="shared" ref="G10:G30" si="5">G9*1.01</f>
        <v>57533.64</v>
      </c>
      <c r="H10" s="25"/>
      <c r="I10" s="23">
        <f t="shared" ref="I10:I31" si="6">I9</f>
        <v>25500</v>
      </c>
      <c r="J10" s="25"/>
      <c r="K10" s="23">
        <f t="shared" ref="K10:K31" si="7">K9*1.02</f>
        <v>0</v>
      </c>
      <c r="L10" s="25"/>
      <c r="M10" s="23">
        <f t="shared" ref="M10:M31" si="8">M9*1.02</f>
        <v>0</v>
      </c>
      <c r="N10" s="25"/>
      <c r="O10" s="23">
        <f t="shared" ref="O10:Q25" si="9">O9*1.02</f>
        <v>0</v>
      </c>
      <c r="P10" s="25"/>
      <c r="Q10" s="23">
        <f t="shared" si="9"/>
        <v>0</v>
      </c>
      <c r="R10" s="25"/>
      <c r="S10" s="23">
        <f>SUM(C10:R10)</f>
        <v>145457.64000000001</v>
      </c>
      <c r="T10" s="25"/>
      <c r="U10" s="23">
        <f t="shared" si="1"/>
        <v>9697.1760000000013</v>
      </c>
      <c r="V10" s="25"/>
      <c r="W10" s="23">
        <f t="shared" ref="W10:W31" si="10">W9*(1+$W$3)</f>
        <v>9232.2910171874973</v>
      </c>
      <c r="X10" s="27">
        <f t="shared" si="2"/>
        <v>9697.1760000000013</v>
      </c>
      <c r="Y10" s="28">
        <f t="shared" si="3"/>
        <v>1</v>
      </c>
    </row>
    <row r="11" spans="1:25" x14ac:dyDescent="0.25">
      <c r="A11" s="38">
        <f t="shared" si="0"/>
        <v>63</v>
      </c>
      <c r="B11" s="39">
        <f t="shared" si="0"/>
        <v>61</v>
      </c>
      <c r="C11" s="33">
        <f t="shared" ref="C11:C31" si="11">C10*1.02</f>
        <v>0</v>
      </c>
      <c r="D11" s="24"/>
      <c r="E11" s="23">
        <f t="shared" si="4"/>
        <v>63672.480000000003</v>
      </c>
      <c r="F11" s="25"/>
      <c r="G11" s="23">
        <f t="shared" si="5"/>
        <v>58108.9764</v>
      </c>
      <c r="H11" s="25"/>
      <c r="I11" s="23">
        <f t="shared" si="6"/>
        <v>25500</v>
      </c>
      <c r="J11" s="25"/>
      <c r="K11" s="23">
        <f t="shared" si="7"/>
        <v>0</v>
      </c>
      <c r="L11" s="25"/>
      <c r="M11" s="23">
        <f t="shared" si="8"/>
        <v>0</v>
      </c>
      <c r="N11" s="25"/>
      <c r="O11" s="23">
        <f t="shared" si="9"/>
        <v>0</v>
      </c>
      <c r="P11" s="25"/>
      <c r="Q11" s="23">
        <f t="shared" si="9"/>
        <v>0</v>
      </c>
      <c r="R11" s="25"/>
      <c r="S11" s="23">
        <f>SUM(C11:R11)</f>
        <v>147281.4564</v>
      </c>
      <c r="T11" s="25"/>
      <c r="U11" s="23">
        <f t="shared" si="1"/>
        <v>9818.7637599999998</v>
      </c>
      <c r="V11" s="25"/>
      <c r="W11" s="23">
        <f t="shared" si="10"/>
        <v>9463.0982926171837</v>
      </c>
      <c r="X11" s="27">
        <f t="shared" si="2"/>
        <v>9818.7637599999998</v>
      </c>
      <c r="Y11" s="28">
        <f t="shared" si="3"/>
        <v>1</v>
      </c>
    </row>
    <row r="12" spans="1:25" x14ac:dyDescent="0.25">
      <c r="A12" s="38">
        <f t="shared" si="0"/>
        <v>64</v>
      </c>
      <c r="B12" s="39">
        <f t="shared" si="0"/>
        <v>62</v>
      </c>
      <c r="C12" s="33">
        <f t="shared" si="11"/>
        <v>0</v>
      </c>
      <c r="D12" s="24"/>
      <c r="E12" s="23">
        <f t="shared" si="4"/>
        <v>64945.929600000003</v>
      </c>
      <c r="F12" s="25"/>
      <c r="G12" s="23">
        <f t="shared" si="5"/>
        <v>58690.066164000003</v>
      </c>
      <c r="H12" s="25"/>
      <c r="I12" s="23">
        <f t="shared" si="6"/>
        <v>25500</v>
      </c>
      <c r="J12" s="25"/>
      <c r="K12" s="23">
        <f t="shared" si="7"/>
        <v>0</v>
      </c>
      <c r="L12" s="25"/>
      <c r="M12" s="23">
        <f t="shared" si="8"/>
        <v>0</v>
      </c>
      <c r="N12" s="25"/>
      <c r="O12" s="23">
        <f t="shared" si="9"/>
        <v>0</v>
      </c>
      <c r="P12" s="25"/>
      <c r="Q12" s="23">
        <f t="shared" si="9"/>
        <v>0</v>
      </c>
      <c r="R12" s="25"/>
      <c r="S12" s="23">
        <f>SUM(C12:R12)</f>
        <v>149135.99576399999</v>
      </c>
      <c r="T12" s="25"/>
      <c r="U12" s="23">
        <f t="shared" si="1"/>
        <v>9942.3997175999993</v>
      </c>
      <c r="V12" s="25"/>
      <c r="W12" s="23">
        <f t="shared" si="10"/>
        <v>9699.6757499326122</v>
      </c>
      <c r="X12" s="27">
        <f t="shared" si="2"/>
        <v>9942.3997175999993</v>
      </c>
      <c r="Y12" s="28">
        <f t="shared" si="3"/>
        <v>1</v>
      </c>
    </row>
    <row r="13" spans="1:25" ht="15.75" customHeight="1" x14ac:dyDescent="0.25">
      <c r="A13" s="38">
        <f t="shared" si="0"/>
        <v>65</v>
      </c>
      <c r="B13" s="39">
        <f t="shared" si="0"/>
        <v>63</v>
      </c>
      <c r="C13" s="33">
        <f t="shared" si="11"/>
        <v>0</v>
      </c>
      <c r="D13" s="24"/>
      <c r="E13" s="23">
        <v>36000</v>
      </c>
      <c r="F13" s="25"/>
      <c r="G13" s="23">
        <f t="shared" si="5"/>
        <v>59276.966825640004</v>
      </c>
      <c r="H13" s="25"/>
      <c r="I13" s="23">
        <f t="shared" si="6"/>
        <v>25500</v>
      </c>
      <c r="J13" s="25"/>
      <c r="K13" s="23">
        <f>K7*3.5%</f>
        <v>22028.125000000004</v>
      </c>
      <c r="L13" s="25"/>
      <c r="M13" s="23">
        <f t="shared" si="8"/>
        <v>0</v>
      </c>
      <c r="N13" s="25"/>
      <c r="O13" s="23">
        <f t="shared" si="9"/>
        <v>0</v>
      </c>
      <c r="P13" s="25"/>
      <c r="Q13" s="23">
        <f t="shared" si="9"/>
        <v>0</v>
      </c>
      <c r="R13" s="25"/>
      <c r="S13" s="23">
        <f>SUM(C13:R13)</f>
        <v>142805.09182564</v>
      </c>
      <c r="T13" s="25"/>
      <c r="U13" s="23">
        <f t="shared" si="1"/>
        <v>9520.3394550426674</v>
      </c>
      <c r="V13" s="25"/>
      <c r="W13" s="23">
        <f t="shared" si="10"/>
        <v>9942.1676436809266</v>
      </c>
      <c r="X13" s="27">
        <f t="shared" si="2"/>
        <v>8051.7977883760004</v>
      </c>
      <c r="Y13" s="28">
        <f t="shared" si="3"/>
        <v>0.84574692177716204</v>
      </c>
    </row>
    <row r="14" spans="1:25" x14ac:dyDescent="0.25">
      <c r="A14" s="38">
        <f t="shared" si="0"/>
        <v>66</v>
      </c>
      <c r="B14" s="39">
        <f t="shared" si="0"/>
        <v>64</v>
      </c>
      <c r="C14" s="33">
        <f>3250*12</f>
        <v>39000</v>
      </c>
      <c r="D14" s="24"/>
      <c r="E14" s="23">
        <f>3000*12</f>
        <v>36000</v>
      </c>
      <c r="F14" s="25"/>
      <c r="G14" s="23">
        <f t="shared" si="5"/>
        <v>59869.736493896402</v>
      </c>
      <c r="H14" s="25"/>
      <c r="I14" s="23">
        <f t="shared" si="6"/>
        <v>25500</v>
      </c>
      <c r="J14" s="25"/>
      <c r="K14" s="23">
        <f t="shared" si="7"/>
        <v>22468.687500000004</v>
      </c>
      <c r="L14" s="25"/>
      <c r="M14" s="23">
        <f t="shared" si="8"/>
        <v>0</v>
      </c>
      <c r="N14" s="25"/>
      <c r="O14" s="23">
        <f t="shared" si="9"/>
        <v>0</v>
      </c>
      <c r="P14" s="25"/>
      <c r="Q14" s="23">
        <f t="shared" si="9"/>
        <v>0</v>
      </c>
      <c r="R14" s="25"/>
      <c r="S14" s="23">
        <f>SUM(C14:R14)</f>
        <v>182838.4239938964</v>
      </c>
      <c r="T14" s="25"/>
      <c r="U14" s="23">
        <f t="shared" si="1"/>
        <v>12189.228266259759</v>
      </c>
      <c r="V14" s="25"/>
      <c r="W14" s="23">
        <f t="shared" si="10"/>
        <v>10190.721834772949</v>
      </c>
      <c r="X14" s="27">
        <f t="shared" si="2"/>
        <v>10691.31576625976</v>
      </c>
      <c r="Y14" s="28">
        <f t="shared" si="3"/>
        <v>0.87711178531734646</v>
      </c>
    </row>
    <row r="15" spans="1:25" x14ac:dyDescent="0.25">
      <c r="A15" s="38">
        <f t="shared" si="0"/>
        <v>67</v>
      </c>
      <c r="B15" s="39">
        <f t="shared" si="0"/>
        <v>65</v>
      </c>
      <c r="C15" s="33">
        <f t="shared" si="11"/>
        <v>39780</v>
      </c>
      <c r="D15" s="24"/>
      <c r="E15" s="23">
        <f t="shared" si="4"/>
        <v>36720</v>
      </c>
      <c r="F15" s="25"/>
      <c r="G15" s="23">
        <f t="shared" si="5"/>
        <v>60468.433858835364</v>
      </c>
      <c r="H15" s="25"/>
      <c r="I15" s="23">
        <f t="shared" si="6"/>
        <v>25500</v>
      </c>
      <c r="J15" s="25"/>
      <c r="K15" s="23">
        <f t="shared" si="7"/>
        <v>22918.061250000002</v>
      </c>
      <c r="L15" s="25"/>
      <c r="M15" s="23">
        <f t="shared" si="8"/>
        <v>0</v>
      </c>
      <c r="N15" s="25"/>
      <c r="O15" s="23">
        <f t="shared" si="9"/>
        <v>0</v>
      </c>
      <c r="P15" s="25"/>
      <c r="Q15" s="23">
        <f t="shared" si="9"/>
        <v>0</v>
      </c>
      <c r="R15" s="25"/>
      <c r="S15" s="23">
        <f>SUM(C15:R15)</f>
        <v>185386.49510883537</v>
      </c>
      <c r="T15" s="25"/>
      <c r="U15" s="23">
        <f t="shared" si="1"/>
        <v>12359.099673922357</v>
      </c>
      <c r="V15" s="25"/>
      <c r="W15" s="23">
        <f t="shared" si="10"/>
        <v>10445.489880642272</v>
      </c>
      <c r="X15" s="27">
        <f t="shared" si="2"/>
        <v>10831.228923922359</v>
      </c>
      <c r="Y15" s="28">
        <f t="shared" si="3"/>
        <v>0.87637685670390708</v>
      </c>
    </row>
    <row r="16" spans="1:25" x14ac:dyDescent="0.25">
      <c r="A16" s="38">
        <f t="shared" si="0"/>
        <v>68</v>
      </c>
      <c r="B16" s="39">
        <f t="shared" si="0"/>
        <v>66</v>
      </c>
      <c r="C16" s="33">
        <f t="shared" si="11"/>
        <v>40575.599999999999</v>
      </c>
      <c r="D16" s="24"/>
      <c r="E16" s="23">
        <f t="shared" si="4"/>
        <v>37454.400000000001</v>
      </c>
      <c r="F16" s="25"/>
      <c r="G16" s="23">
        <f t="shared" si="5"/>
        <v>61073.118197423719</v>
      </c>
      <c r="H16" s="25"/>
      <c r="I16" s="23">
        <f t="shared" si="6"/>
        <v>25500</v>
      </c>
      <c r="J16" s="25"/>
      <c r="K16" s="23">
        <f t="shared" si="7"/>
        <v>23376.422475000003</v>
      </c>
      <c r="L16" s="25"/>
      <c r="M16" s="23">
        <f t="shared" si="8"/>
        <v>0</v>
      </c>
      <c r="N16" s="25"/>
      <c r="O16" s="23">
        <f t="shared" si="9"/>
        <v>0</v>
      </c>
      <c r="P16" s="25"/>
      <c r="Q16" s="23">
        <f t="shared" si="9"/>
        <v>0</v>
      </c>
      <c r="R16" s="25"/>
      <c r="S16" s="23">
        <f>SUM(C16:R16)</f>
        <v>187979.54067242373</v>
      </c>
      <c r="T16" s="25"/>
      <c r="U16" s="23">
        <f t="shared" si="1"/>
        <v>12531.969378161581</v>
      </c>
      <c r="V16" s="25"/>
      <c r="W16" s="23">
        <f t="shared" si="10"/>
        <v>10706.627127658327</v>
      </c>
      <c r="X16" s="27">
        <f t="shared" si="2"/>
        <v>10973.541213161581</v>
      </c>
      <c r="Y16" s="28">
        <f t="shared" si="3"/>
        <v>0.87564379404599069</v>
      </c>
    </row>
    <row r="17" spans="1:25" x14ac:dyDescent="0.25">
      <c r="A17" s="38">
        <f t="shared" si="0"/>
        <v>69</v>
      </c>
      <c r="B17" s="39">
        <f t="shared" si="0"/>
        <v>67</v>
      </c>
      <c r="C17" s="33">
        <f t="shared" si="11"/>
        <v>41387.112000000001</v>
      </c>
      <c r="D17" s="24"/>
      <c r="E17" s="23">
        <f t="shared" si="4"/>
        <v>38203.488000000005</v>
      </c>
      <c r="F17" s="25"/>
      <c r="G17" s="23">
        <f t="shared" si="5"/>
        <v>61683.849379397958</v>
      </c>
      <c r="H17" s="25"/>
      <c r="I17" s="23">
        <f t="shared" si="6"/>
        <v>25500</v>
      </c>
      <c r="J17" s="25"/>
      <c r="K17" s="23">
        <f t="shared" si="7"/>
        <v>23843.950924500004</v>
      </c>
      <c r="L17" s="25"/>
      <c r="M17" s="23">
        <f t="shared" si="8"/>
        <v>0</v>
      </c>
      <c r="N17" s="25"/>
      <c r="O17" s="23">
        <f t="shared" si="9"/>
        <v>0</v>
      </c>
      <c r="P17" s="25"/>
      <c r="Q17" s="23">
        <f t="shared" si="9"/>
        <v>0</v>
      </c>
      <c r="R17" s="25"/>
      <c r="S17" s="23">
        <f>SUM(C17:R17)</f>
        <v>190618.40030389797</v>
      </c>
      <c r="T17" s="25"/>
      <c r="U17" s="23">
        <f t="shared" si="1"/>
        <v>12707.893353593199</v>
      </c>
      <c r="V17" s="25"/>
      <c r="W17" s="23">
        <f t="shared" si="10"/>
        <v>10974.292805849784</v>
      </c>
      <c r="X17" s="27">
        <f t="shared" si="2"/>
        <v>11118.296625293198</v>
      </c>
      <c r="Y17" s="28">
        <f t="shared" si="3"/>
        <v>0.87491264806290359</v>
      </c>
    </row>
    <row r="18" spans="1:25" x14ac:dyDescent="0.25">
      <c r="A18" s="38">
        <f t="shared" si="0"/>
        <v>70</v>
      </c>
      <c r="B18" s="39">
        <f t="shared" si="0"/>
        <v>68</v>
      </c>
      <c r="C18" s="33">
        <f t="shared" si="11"/>
        <v>42214.854240000001</v>
      </c>
      <c r="D18" s="24"/>
      <c r="E18" s="23">
        <f t="shared" si="4"/>
        <v>38967.557760000003</v>
      </c>
      <c r="F18" s="25"/>
      <c r="G18" s="23">
        <f t="shared" si="5"/>
        <v>62300.687873191935</v>
      </c>
      <c r="H18" s="25"/>
      <c r="I18" s="23">
        <f t="shared" si="6"/>
        <v>25500</v>
      </c>
      <c r="J18" s="25"/>
      <c r="K18" s="23">
        <f t="shared" si="7"/>
        <v>24320.829942990003</v>
      </c>
      <c r="L18" s="25"/>
      <c r="M18" s="23">
        <f t="shared" si="8"/>
        <v>0</v>
      </c>
      <c r="N18" s="25"/>
      <c r="O18" s="23">
        <f t="shared" si="9"/>
        <v>0</v>
      </c>
      <c r="P18" s="25"/>
      <c r="Q18" s="23">
        <f t="shared" si="9"/>
        <v>0</v>
      </c>
      <c r="R18" s="25"/>
      <c r="S18" s="23">
        <f>SUM(C18:R18)</f>
        <v>193303.92981618195</v>
      </c>
      <c r="T18" s="25"/>
      <c r="U18" s="23">
        <f t="shared" si="1"/>
        <v>12886.92865441213</v>
      </c>
      <c r="V18" s="25"/>
      <c r="W18" s="23">
        <f t="shared" si="10"/>
        <v>11248.650125996028</v>
      </c>
      <c r="X18" s="27">
        <f t="shared" si="2"/>
        <v>11265.539991546131</v>
      </c>
      <c r="Y18" s="28">
        <f t="shared" si="3"/>
        <v>0.87418346866451535</v>
      </c>
    </row>
    <row r="19" spans="1:25" x14ac:dyDescent="0.25">
      <c r="A19" s="38">
        <f t="shared" si="0"/>
        <v>71</v>
      </c>
      <c r="B19" s="39">
        <f t="shared" si="0"/>
        <v>69</v>
      </c>
      <c r="C19" s="33">
        <f t="shared" si="11"/>
        <v>43059.151324800005</v>
      </c>
      <c r="D19" s="24"/>
      <c r="E19" s="23">
        <f t="shared" si="4"/>
        <v>39746.908915200002</v>
      </c>
      <c r="F19" s="25"/>
      <c r="G19" s="23">
        <f t="shared" si="5"/>
        <v>62923.694751923853</v>
      </c>
      <c r="H19" s="25"/>
      <c r="I19" s="23">
        <f t="shared" si="6"/>
        <v>25500</v>
      </c>
      <c r="J19" s="25"/>
      <c r="K19" s="23">
        <f t="shared" si="7"/>
        <v>24807.246541849803</v>
      </c>
      <c r="L19" s="25"/>
      <c r="M19" s="23">
        <f t="shared" si="8"/>
        <v>0</v>
      </c>
      <c r="N19" s="25"/>
      <c r="O19" s="23">
        <f t="shared" si="9"/>
        <v>0</v>
      </c>
      <c r="P19" s="25"/>
      <c r="Q19" s="23">
        <f t="shared" si="9"/>
        <v>0</v>
      </c>
      <c r="R19" s="25"/>
      <c r="S19" s="23">
        <f>SUM(C19:R19)</f>
        <v>196037.00153377367</v>
      </c>
      <c r="T19" s="25"/>
      <c r="U19" s="23">
        <f t="shared" si="1"/>
        <v>13069.133435584912</v>
      </c>
      <c r="V19" s="25"/>
      <c r="W19" s="23">
        <f t="shared" si="10"/>
        <v>11529.866379145928</v>
      </c>
      <c r="X19" s="27">
        <f t="shared" si="2"/>
        <v>11415.316999461591</v>
      </c>
      <c r="Y19" s="28">
        <f t="shared" si="3"/>
        <v>0.87345630494365645</v>
      </c>
    </row>
    <row r="20" spans="1:25" x14ac:dyDescent="0.25">
      <c r="A20" s="38">
        <f t="shared" si="0"/>
        <v>72</v>
      </c>
      <c r="B20" s="39">
        <f t="shared" si="0"/>
        <v>70</v>
      </c>
      <c r="C20" s="33">
        <f t="shared" si="11"/>
        <v>43920.334351296005</v>
      </c>
      <c r="D20" s="25"/>
      <c r="E20" s="23">
        <f t="shared" si="4"/>
        <v>40541.847093504002</v>
      </c>
      <c r="F20" s="25"/>
      <c r="G20" s="23">
        <f t="shared" si="5"/>
        <v>63552.931699443092</v>
      </c>
      <c r="H20" s="25"/>
      <c r="I20" s="23">
        <f t="shared" si="6"/>
        <v>25500</v>
      </c>
      <c r="J20" s="25"/>
      <c r="K20" s="23">
        <f t="shared" si="7"/>
        <v>25303.391472686799</v>
      </c>
      <c r="L20" s="25"/>
      <c r="M20" s="23">
        <f t="shared" si="8"/>
        <v>0</v>
      </c>
      <c r="N20" s="25"/>
      <c r="O20" s="23">
        <f t="shared" si="9"/>
        <v>0</v>
      </c>
      <c r="P20" s="25"/>
      <c r="Q20" s="23">
        <f t="shared" si="9"/>
        <v>0</v>
      </c>
      <c r="R20" s="25"/>
      <c r="S20" s="23">
        <f>SUM(C20:R20)</f>
        <v>198818.50461692992</v>
      </c>
      <c r="T20" s="25"/>
      <c r="U20" s="23">
        <f t="shared" si="1"/>
        <v>13254.566974461995</v>
      </c>
      <c r="V20" s="25"/>
      <c r="W20" s="23">
        <f t="shared" si="10"/>
        <v>11818.113038624575</v>
      </c>
      <c r="X20" s="27">
        <f t="shared" si="2"/>
        <v>11567.674209616207</v>
      </c>
      <c r="Y20" s="28">
        <f t="shared" si="3"/>
        <v>0.87273120516905767</v>
      </c>
    </row>
    <row r="21" spans="1:25" x14ac:dyDescent="0.25">
      <c r="A21" s="38">
        <f t="shared" si="0"/>
        <v>73</v>
      </c>
      <c r="B21" s="39">
        <f t="shared" si="0"/>
        <v>71</v>
      </c>
      <c r="C21" s="33">
        <f t="shared" si="11"/>
        <v>44798.741038321925</v>
      </c>
      <c r="D21" s="25"/>
      <c r="E21" s="23">
        <f t="shared" si="4"/>
        <v>41352.684035374084</v>
      </c>
      <c r="F21" s="25"/>
      <c r="G21" s="23">
        <f t="shared" si="5"/>
        <v>64188.461016437526</v>
      </c>
      <c r="H21" s="25"/>
      <c r="I21" s="23">
        <f t="shared" si="6"/>
        <v>25500</v>
      </c>
      <c r="J21" s="25"/>
      <c r="K21" s="23">
        <f t="shared" si="7"/>
        <v>25809.459302140534</v>
      </c>
      <c r="L21" s="25"/>
      <c r="M21" s="23">
        <f t="shared" si="8"/>
        <v>0</v>
      </c>
      <c r="N21" s="25"/>
      <c r="O21" s="23">
        <f t="shared" si="9"/>
        <v>0</v>
      </c>
      <c r="P21" s="25"/>
      <c r="Q21" s="23">
        <f t="shared" si="9"/>
        <v>0</v>
      </c>
      <c r="R21" s="25"/>
      <c r="S21" s="23">
        <f>SUM(C21:R21)</f>
        <v>201649.34539227409</v>
      </c>
      <c r="T21" s="25"/>
      <c r="U21" s="23">
        <f t="shared" si="1"/>
        <v>13443.289692818274</v>
      </c>
      <c r="V21" s="25"/>
      <c r="W21" s="23">
        <f t="shared" si="10"/>
        <v>12113.565864590188</v>
      </c>
      <c r="X21" s="27">
        <f t="shared" si="2"/>
        <v>11722.659072675569</v>
      </c>
      <c r="Y21" s="28">
        <f t="shared" si="3"/>
        <v>0.87200821677882112</v>
      </c>
    </row>
    <row r="22" spans="1:25" x14ac:dyDescent="0.25">
      <c r="A22" s="38">
        <f t="shared" si="0"/>
        <v>74</v>
      </c>
      <c r="B22" s="39">
        <f t="shared" si="0"/>
        <v>72</v>
      </c>
      <c r="C22" s="33">
        <f t="shared" si="11"/>
        <v>45694.715859088363</v>
      </c>
      <c r="D22" s="25"/>
      <c r="E22" s="23">
        <f t="shared" si="4"/>
        <v>42179.737716081567</v>
      </c>
      <c r="F22" s="25"/>
      <c r="G22" s="23">
        <f t="shared" si="5"/>
        <v>64830.345626601906</v>
      </c>
      <c r="H22" s="25"/>
      <c r="I22" s="23">
        <f t="shared" si="6"/>
        <v>25500</v>
      </c>
      <c r="J22" s="25"/>
      <c r="K22" s="23">
        <f t="shared" si="7"/>
        <v>26325.648488183346</v>
      </c>
      <c r="L22" s="25"/>
      <c r="M22" s="23">
        <f t="shared" si="8"/>
        <v>0</v>
      </c>
      <c r="N22" s="25"/>
      <c r="O22" s="23">
        <f t="shared" si="9"/>
        <v>0</v>
      </c>
      <c r="P22" s="25"/>
      <c r="Q22" s="23">
        <f t="shared" si="9"/>
        <v>0</v>
      </c>
      <c r="R22" s="25"/>
      <c r="S22" s="23">
        <f>SUM(C22:R22)</f>
        <v>204530.44768995518</v>
      </c>
      <c r="T22" s="25"/>
      <c r="U22" s="23">
        <f t="shared" si="1"/>
        <v>13635.363179330345</v>
      </c>
      <c r="V22" s="25"/>
      <c r="W22" s="23">
        <f t="shared" si="10"/>
        <v>12416.405011204941</v>
      </c>
      <c r="X22" s="27">
        <f t="shared" si="2"/>
        <v>11880.31994678479</v>
      </c>
      <c r="Y22" s="28">
        <f t="shared" si="3"/>
        <v>0.87128738637442382</v>
      </c>
    </row>
    <row r="23" spans="1:25" x14ac:dyDescent="0.25">
      <c r="A23" s="38">
        <f t="shared" si="0"/>
        <v>75</v>
      </c>
      <c r="B23" s="39">
        <f t="shared" si="0"/>
        <v>73</v>
      </c>
      <c r="C23" s="33">
        <f t="shared" si="11"/>
        <v>46608.610176270129</v>
      </c>
      <c r="D23" s="25"/>
      <c r="E23" s="23">
        <f t="shared" si="4"/>
        <v>43023.332470403198</v>
      </c>
      <c r="F23" s="25"/>
      <c r="G23" s="23">
        <f t="shared" si="5"/>
        <v>65478.649082867923</v>
      </c>
      <c r="H23" s="25"/>
      <c r="I23" s="23">
        <f t="shared" si="6"/>
        <v>25500</v>
      </c>
      <c r="J23" s="25"/>
      <c r="K23" s="23">
        <f t="shared" si="7"/>
        <v>26852.161457947012</v>
      </c>
      <c r="L23" s="25"/>
      <c r="M23" s="23">
        <f t="shared" si="8"/>
        <v>0</v>
      </c>
      <c r="N23" s="25"/>
      <c r="O23" s="23">
        <f t="shared" si="9"/>
        <v>0</v>
      </c>
      <c r="P23" s="25"/>
      <c r="Q23" s="23">
        <f t="shared" si="9"/>
        <v>0</v>
      </c>
      <c r="R23" s="25"/>
      <c r="S23" s="23">
        <f>SUM(C23:R23)</f>
        <v>207462.75318748827</v>
      </c>
      <c r="T23" s="25"/>
      <c r="U23" s="23">
        <f t="shared" si="1"/>
        <v>13830.850212499217</v>
      </c>
      <c r="V23" s="25"/>
      <c r="W23" s="23">
        <f t="shared" si="10"/>
        <v>12726.815136485064</v>
      </c>
      <c r="X23" s="27">
        <f t="shared" si="2"/>
        <v>12040.706115302752</v>
      </c>
      <c r="Y23" s="28">
        <f t="shared" si="3"/>
        <v>0.87056875971524317</v>
      </c>
    </row>
    <row r="24" spans="1:25" x14ac:dyDescent="0.25">
      <c r="A24" s="38">
        <f t="shared" si="0"/>
        <v>76</v>
      </c>
      <c r="B24" s="39">
        <f t="shared" si="0"/>
        <v>74</v>
      </c>
      <c r="C24" s="33">
        <f t="shared" si="11"/>
        <v>47540.782379795535</v>
      </c>
      <c r="D24" s="25"/>
      <c r="E24" s="23">
        <f t="shared" si="4"/>
        <v>43883.799119811265</v>
      </c>
      <c r="F24" s="25"/>
      <c r="G24" s="23">
        <f t="shared" si="5"/>
        <v>66133.43557369661</v>
      </c>
      <c r="H24" s="25"/>
      <c r="I24" s="23">
        <f t="shared" si="6"/>
        <v>25500</v>
      </c>
      <c r="J24" s="25"/>
      <c r="K24" s="23">
        <f t="shared" si="7"/>
        <v>27389.204687105954</v>
      </c>
      <c r="L24" s="25"/>
      <c r="M24" s="23">
        <f t="shared" si="8"/>
        <v>0</v>
      </c>
      <c r="N24" s="25"/>
      <c r="O24" s="23">
        <f t="shared" si="9"/>
        <v>0</v>
      </c>
      <c r="P24" s="25"/>
      <c r="Q24" s="23">
        <f t="shared" si="9"/>
        <v>0</v>
      </c>
      <c r="R24" s="25"/>
      <c r="S24" s="23">
        <f>SUM(C24:R24)</f>
        <v>210447.22176040936</v>
      </c>
      <c r="T24" s="25"/>
      <c r="U24" s="23">
        <f t="shared" si="1"/>
        <v>14029.814784027292</v>
      </c>
      <c r="V24" s="25"/>
      <c r="W24" s="23">
        <f t="shared" si="10"/>
        <v>13044.985514897189</v>
      </c>
      <c r="X24" s="27">
        <f t="shared" si="2"/>
        <v>12203.867804886895</v>
      </c>
      <c r="Y24" s="28">
        <f t="shared" si="3"/>
        <v>0.86985238171360557</v>
      </c>
    </row>
    <row r="25" spans="1:25" x14ac:dyDescent="0.25">
      <c r="A25" s="38">
        <f t="shared" ref="A25:B31" si="12">A24+1</f>
        <v>77</v>
      </c>
      <c r="B25" s="39">
        <f t="shared" si="12"/>
        <v>75</v>
      </c>
      <c r="C25" s="33">
        <f t="shared" si="11"/>
        <v>48491.598027391447</v>
      </c>
      <c r="D25" s="25"/>
      <c r="E25" s="23">
        <f t="shared" si="4"/>
        <v>44761.475102207492</v>
      </c>
      <c r="F25" s="25"/>
      <c r="G25" s="23">
        <f t="shared" si="5"/>
        <v>66794.769929433576</v>
      </c>
      <c r="H25" s="25"/>
      <c r="I25" s="23">
        <f t="shared" si="6"/>
        <v>25500</v>
      </c>
      <c r="J25" s="25"/>
      <c r="K25" s="23">
        <f t="shared" si="7"/>
        <v>27936.988780848074</v>
      </c>
      <c r="L25" s="25"/>
      <c r="M25" s="23">
        <f t="shared" si="8"/>
        <v>0</v>
      </c>
      <c r="N25" s="25"/>
      <c r="O25" s="23">
        <f t="shared" si="9"/>
        <v>0</v>
      </c>
      <c r="P25" s="25"/>
      <c r="Q25" s="23">
        <f t="shared" si="9"/>
        <v>0</v>
      </c>
      <c r="R25" s="25"/>
      <c r="S25" s="23">
        <f>SUM(C25:R25)</f>
        <v>213484.83183988059</v>
      </c>
      <c r="T25" s="25"/>
      <c r="U25" s="23">
        <f t="shared" si="1"/>
        <v>14232.322122658707</v>
      </c>
      <c r="V25" s="25"/>
      <c r="W25" s="23">
        <f t="shared" si="10"/>
        <v>13371.110152769617</v>
      </c>
      <c r="X25" s="27">
        <f t="shared" si="2"/>
        <v>12369.856203935502</v>
      </c>
      <c r="Y25" s="28">
        <f t="shared" si="3"/>
        <v>0.86913829643034513</v>
      </c>
    </row>
    <row r="26" spans="1:25" x14ac:dyDescent="0.25">
      <c r="A26" s="38">
        <f t="shared" si="12"/>
        <v>78</v>
      </c>
      <c r="B26" s="39">
        <f t="shared" si="12"/>
        <v>76</v>
      </c>
      <c r="C26" s="33">
        <f t="shared" si="11"/>
        <v>49461.429987939278</v>
      </c>
      <c r="D26" s="25"/>
      <c r="E26" s="23">
        <f t="shared" si="4"/>
        <v>45656.704604251645</v>
      </c>
      <c r="F26" s="25"/>
      <c r="G26" s="23">
        <f t="shared" si="5"/>
        <v>67462.717628727914</v>
      </c>
      <c r="H26" s="25"/>
      <c r="I26" s="23">
        <f t="shared" si="6"/>
        <v>25500</v>
      </c>
      <c r="J26" s="25"/>
      <c r="K26" s="23">
        <f t="shared" si="7"/>
        <v>28495.728556465037</v>
      </c>
      <c r="L26" s="25"/>
      <c r="M26" s="23">
        <f t="shared" si="8"/>
        <v>0</v>
      </c>
      <c r="N26" s="25"/>
      <c r="O26" s="23">
        <f t="shared" ref="O26:Q31" si="13">O25*1.02</f>
        <v>0</v>
      </c>
      <c r="P26" s="25"/>
      <c r="Q26" s="23">
        <f t="shared" si="13"/>
        <v>0</v>
      </c>
      <c r="R26" s="25"/>
      <c r="S26" s="23">
        <f>SUM(C26:R26)</f>
        <v>216576.58077738388</v>
      </c>
      <c r="T26" s="25"/>
      <c r="U26" s="23">
        <f t="shared" si="1"/>
        <v>14438.43871849226</v>
      </c>
      <c r="V26" s="25"/>
      <c r="W26" s="23">
        <f t="shared" si="10"/>
        <v>13705.387906588856</v>
      </c>
      <c r="X26" s="27">
        <f t="shared" si="2"/>
        <v>12538.723481394591</v>
      </c>
      <c r="Y26" s="28">
        <f t="shared" si="3"/>
        <v>0.86842654707086997</v>
      </c>
    </row>
    <row r="27" spans="1:25" x14ac:dyDescent="0.25">
      <c r="A27" s="38">
        <f t="shared" si="12"/>
        <v>79</v>
      </c>
      <c r="B27" s="39">
        <f t="shared" si="12"/>
        <v>77</v>
      </c>
      <c r="C27" s="33">
        <f t="shared" si="11"/>
        <v>50450.658587698068</v>
      </c>
      <c r="D27" s="25"/>
      <c r="E27" s="23">
        <f t="shared" si="4"/>
        <v>46569.838696336679</v>
      </c>
      <c r="F27" s="25"/>
      <c r="G27" s="23">
        <f t="shared" si="5"/>
        <v>68137.344805015193</v>
      </c>
      <c r="H27" s="25"/>
      <c r="I27" s="23">
        <f t="shared" si="6"/>
        <v>25500</v>
      </c>
      <c r="J27" s="25"/>
      <c r="K27" s="23">
        <f t="shared" si="7"/>
        <v>29065.64312759434</v>
      </c>
      <c r="L27" s="25"/>
      <c r="M27" s="23">
        <f t="shared" si="8"/>
        <v>0</v>
      </c>
      <c r="N27" s="25"/>
      <c r="O27" s="23">
        <f t="shared" si="13"/>
        <v>0</v>
      </c>
      <c r="P27" s="25"/>
      <c r="Q27" s="23">
        <f t="shared" si="13"/>
        <v>0</v>
      </c>
      <c r="R27" s="25"/>
      <c r="S27" s="23">
        <f>SUM(C27:R27)</f>
        <v>219723.48521664427</v>
      </c>
      <c r="T27" s="25"/>
      <c r="U27" s="23">
        <f t="shared" si="1"/>
        <v>14648.232347776286</v>
      </c>
      <c r="V27" s="25"/>
      <c r="W27" s="23">
        <f t="shared" si="10"/>
        <v>14048.022604253576</v>
      </c>
      <c r="X27" s="27">
        <f t="shared" si="2"/>
        <v>12710.522805936664</v>
      </c>
      <c r="Y27" s="28">
        <f t="shared" si="3"/>
        <v>0.86771717598172993</v>
      </c>
    </row>
    <row r="28" spans="1:25" x14ac:dyDescent="0.25">
      <c r="A28" s="38">
        <f t="shared" si="12"/>
        <v>80</v>
      </c>
      <c r="B28" s="39">
        <f t="shared" si="12"/>
        <v>78</v>
      </c>
      <c r="C28" s="33">
        <f t="shared" si="11"/>
        <v>51459.671759452031</v>
      </c>
      <c r="D28" s="25"/>
      <c r="E28" s="23">
        <f t="shared" si="4"/>
        <v>47501.235470263411</v>
      </c>
      <c r="F28" s="25"/>
      <c r="G28" s="23">
        <f t="shared" si="5"/>
        <v>68818.718253065352</v>
      </c>
      <c r="H28" s="25"/>
      <c r="I28" s="23">
        <f t="shared" si="6"/>
        <v>25500</v>
      </c>
      <c r="J28" s="25"/>
      <c r="K28" s="23">
        <f t="shared" si="7"/>
        <v>29646.955990146227</v>
      </c>
      <c r="L28" s="25"/>
      <c r="M28" s="23">
        <f t="shared" si="8"/>
        <v>0</v>
      </c>
      <c r="N28" s="25"/>
      <c r="O28" s="23">
        <f t="shared" si="13"/>
        <v>0</v>
      </c>
      <c r="P28" s="25"/>
      <c r="Q28" s="23">
        <f t="shared" si="13"/>
        <v>0</v>
      </c>
      <c r="R28" s="25"/>
      <c r="S28" s="23">
        <f>SUM(C28:R28)</f>
        <v>222926.58147292704</v>
      </c>
      <c r="T28" s="25"/>
      <c r="U28" s="23">
        <f t="shared" si="1"/>
        <v>14861.772098195137</v>
      </c>
      <c r="V28" s="25"/>
      <c r="W28" s="23">
        <f t="shared" si="10"/>
        <v>14399.223169359913</v>
      </c>
      <c r="X28" s="27">
        <f t="shared" si="2"/>
        <v>12885.308365518722</v>
      </c>
      <c r="Y28" s="28">
        <f t="shared" si="3"/>
        <v>0.86701022464767552</v>
      </c>
    </row>
    <row r="29" spans="1:25" x14ac:dyDescent="0.25">
      <c r="A29" s="38">
        <f t="shared" si="12"/>
        <v>81</v>
      </c>
      <c r="B29" s="39">
        <f t="shared" si="12"/>
        <v>79</v>
      </c>
      <c r="C29" s="33">
        <f t="shared" si="11"/>
        <v>52488.865194641076</v>
      </c>
      <c r="D29" s="25"/>
      <c r="E29" s="23">
        <f t="shared" si="4"/>
        <v>48451.260179668679</v>
      </c>
      <c r="F29" s="25"/>
      <c r="G29" s="23">
        <f t="shared" si="5"/>
        <v>69506.905435596011</v>
      </c>
      <c r="H29" s="25"/>
      <c r="I29" s="23">
        <f t="shared" si="6"/>
        <v>25500</v>
      </c>
      <c r="J29" s="25"/>
      <c r="K29" s="23">
        <f t="shared" si="7"/>
        <v>30239.895109949153</v>
      </c>
      <c r="L29" s="25"/>
      <c r="M29" s="23">
        <f t="shared" si="8"/>
        <v>0</v>
      </c>
      <c r="N29" s="25"/>
      <c r="O29" s="23">
        <f t="shared" si="13"/>
        <v>0</v>
      </c>
      <c r="P29" s="25"/>
      <c r="Q29" s="23">
        <f t="shared" si="13"/>
        <v>0</v>
      </c>
      <c r="R29" s="25"/>
      <c r="S29" s="23">
        <f>SUM(C29:R29)</f>
        <v>226186.9259198549</v>
      </c>
      <c r="T29" s="25"/>
      <c r="U29" s="23">
        <f t="shared" si="1"/>
        <v>15079.128394656995</v>
      </c>
      <c r="V29" s="25"/>
      <c r="W29" s="23">
        <f t="shared" si="10"/>
        <v>14759.203748593909</v>
      </c>
      <c r="X29" s="27">
        <f t="shared" si="2"/>
        <v>13063.135387327051</v>
      </c>
      <c r="Y29" s="28">
        <f t="shared" si="3"/>
        <v>0.86630573368920494</v>
      </c>
    </row>
    <row r="30" spans="1:25" x14ac:dyDescent="0.25">
      <c r="A30" s="38">
        <f t="shared" si="12"/>
        <v>82</v>
      </c>
      <c r="B30" s="39">
        <f t="shared" si="12"/>
        <v>80</v>
      </c>
      <c r="C30" s="33">
        <f t="shared" si="11"/>
        <v>53538.642498533896</v>
      </c>
      <c r="D30" s="25"/>
      <c r="E30" s="23">
        <f t="shared" si="4"/>
        <v>49420.285383262053</v>
      </c>
      <c r="F30" s="25"/>
      <c r="G30" s="23">
        <f t="shared" si="5"/>
        <v>70201.974489951972</v>
      </c>
      <c r="H30" s="25"/>
      <c r="I30" s="23">
        <f t="shared" si="6"/>
        <v>25500</v>
      </c>
      <c r="J30" s="25"/>
      <c r="K30" s="23">
        <f t="shared" si="7"/>
        <v>30844.693012148138</v>
      </c>
      <c r="L30" s="25"/>
      <c r="M30" s="23">
        <f t="shared" si="8"/>
        <v>0</v>
      </c>
      <c r="N30" s="25"/>
      <c r="O30" s="23">
        <f t="shared" si="13"/>
        <v>0</v>
      </c>
      <c r="P30" s="25"/>
      <c r="Q30" s="23">
        <f t="shared" si="13"/>
        <v>0</v>
      </c>
      <c r="R30" s="25"/>
      <c r="S30" s="23">
        <f>SUM(C30:R30)</f>
        <v>229505.59538389606</v>
      </c>
      <c r="T30" s="25"/>
      <c r="U30" s="23">
        <f t="shared" si="1"/>
        <v>15300.373025593071</v>
      </c>
      <c r="V30" s="25"/>
      <c r="W30" s="23">
        <f t="shared" si="10"/>
        <v>15128.183842308756</v>
      </c>
      <c r="X30" s="27">
        <f t="shared" si="2"/>
        <v>13244.060158116528</v>
      </c>
      <c r="Y30" s="28">
        <f t="shared" si="3"/>
        <v>0.86560374286058717</v>
      </c>
    </row>
    <row r="31" spans="1:25" ht="15.75" thickBot="1" x14ac:dyDescent="0.3">
      <c r="A31" s="40">
        <f t="shared" si="12"/>
        <v>83</v>
      </c>
      <c r="B31" s="41">
        <f t="shared" si="12"/>
        <v>81</v>
      </c>
      <c r="C31" s="33">
        <f t="shared" si="11"/>
        <v>54609.415348504575</v>
      </c>
      <c r="D31" s="25"/>
      <c r="E31" s="23">
        <f t="shared" si="4"/>
        <v>50408.691090927292</v>
      </c>
      <c r="F31" s="25"/>
      <c r="G31" s="23">
        <f>G30*1.01</f>
        <v>70903.994234851489</v>
      </c>
      <c r="H31" s="25"/>
      <c r="I31" s="23">
        <f t="shared" si="6"/>
        <v>25500</v>
      </c>
      <c r="J31" s="25"/>
      <c r="K31" s="23">
        <f t="shared" si="7"/>
        <v>31461.586872391101</v>
      </c>
      <c r="L31" s="25"/>
      <c r="M31" s="23">
        <f t="shared" si="8"/>
        <v>0</v>
      </c>
      <c r="N31" s="25"/>
      <c r="O31" s="23">
        <f t="shared" si="13"/>
        <v>0</v>
      </c>
      <c r="P31" s="25"/>
      <c r="Q31" s="23">
        <f t="shared" si="13"/>
        <v>0</v>
      </c>
      <c r="R31" s="25"/>
      <c r="S31" s="23">
        <f>SUM(C31:R31)</f>
        <v>232883.68754667445</v>
      </c>
      <c r="T31" s="25"/>
      <c r="U31" s="23">
        <f t="shared" si="1"/>
        <v>15525.579169778299</v>
      </c>
      <c r="V31" s="25"/>
      <c r="W31" s="23">
        <f t="shared" si="10"/>
        <v>15506.388438366474</v>
      </c>
      <c r="X31" s="27">
        <f t="shared" si="2"/>
        <v>13428.140044952223</v>
      </c>
      <c r="Y31" s="28">
        <f t="shared" si="3"/>
        <v>0.86490429104835598</v>
      </c>
    </row>
    <row r="32" spans="1:25" x14ac:dyDescent="0.25">
      <c r="A32" s="51" t="s">
        <v>16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</row>
  </sheetData>
  <mergeCells count="4">
    <mergeCell ref="C1:W1"/>
    <mergeCell ref="A2:B2"/>
    <mergeCell ref="X2:Y2"/>
    <mergeCell ref="A32:Y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D3258-FCC2-4592-83F7-54B7C455EF8F}">
  <dimension ref="A1:AA32"/>
  <sheetViews>
    <sheetView tabSelected="1" workbookViewId="0">
      <selection activeCell="AC22" sqref="AC22"/>
    </sheetView>
  </sheetViews>
  <sheetFormatPr defaultColWidth="7" defaultRowHeight="15" x14ac:dyDescent="0.25"/>
  <cols>
    <col min="1" max="2" width="4.85546875" style="1" customWidth="1"/>
    <col min="3" max="3" width="15.140625" style="2" customWidth="1"/>
    <col min="4" max="4" width="3.28515625" style="2" customWidth="1"/>
    <col min="5" max="5" width="15.85546875" style="2" bestFit="1" customWidth="1"/>
    <col min="6" max="6" width="3.5703125" style="2" customWidth="1"/>
    <col min="7" max="7" width="15.85546875" style="2" bestFit="1" customWidth="1"/>
    <col min="8" max="8" width="3.5703125" style="2" customWidth="1"/>
    <col min="9" max="9" width="15.85546875" style="2" bestFit="1" customWidth="1"/>
    <col min="10" max="10" width="3.5703125" style="2" customWidth="1"/>
    <col min="11" max="11" width="15.85546875" style="2" bestFit="1" customWidth="1"/>
    <col min="12" max="12" width="3.5703125" style="2" customWidth="1"/>
    <col min="13" max="13" width="15.85546875" style="2" bestFit="1" customWidth="1"/>
    <col min="14" max="14" width="3.5703125" style="2" customWidth="1"/>
    <col min="15" max="15" width="15.85546875" style="2" bestFit="1" customWidth="1"/>
    <col min="16" max="16" width="3.5703125" style="2" customWidth="1"/>
    <col min="17" max="17" width="15.85546875" style="2" bestFit="1" customWidth="1"/>
    <col min="18" max="18" width="3.5703125" style="2" customWidth="1"/>
    <col min="19" max="19" width="15.85546875" style="2" bestFit="1" customWidth="1"/>
    <col min="20" max="20" width="3" style="2" hidden="1" customWidth="1"/>
    <col min="21" max="21" width="11.140625" style="2" hidden="1" customWidth="1"/>
    <col min="22" max="22" width="3" style="2" customWidth="1"/>
    <col min="23" max="23" width="11.140625" style="2" bestFit="1" customWidth="1"/>
    <col min="24" max="24" width="3" style="2" customWidth="1"/>
    <col min="25" max="25" width="11.140625" style="2" customWidth="1"/>
    <col min="26" max="26" width="9.85546875" style="2" customWidth="1"/>
    <col min="27" max="27" width="8.28515625" style="2" customWidth="1"/>
    <col min="28" max="28" width="11.140625" style="2" bestFit="1" customWidth="1"/>
    <col min="29" max="16384" width="7" style="2"/>
  </cols>
  <sheetData>
    <row r="1" spans="1:27" ht="19.5" thickBot="1" x14ac:dyDescent="0.35">
      <c r="C1" s="46" t="s">
        <v>11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</row>
    <row r="2" spans="1:27" s="10" customFormat="1" ht="45" x14ac:dyDescent="0.25">
      <c r="A2" s="49" t="s">
        <v>0</v>
      </c>
      <c r="B2" s="50"/>
      <c r="C2" s="29" t="s">
        <v>7</v>
      </c>
      <c r="D2" s="4"/>
      <c r="E2" s="3" t="s">
        <v>5</v>
      </c>
      <c r="F2" s="5"/>
      <c r="G2" s="3" t="s">
        <v>6</v>
      </c>
      <c r="H2" s="5"/>
      <c r="I2" s="3" t="s">
        <v>14</v>
      </c>
      <c r="J2" s="5"/>
      <c r="K2" s="3" t="s">
        <v>14</v>
      </c>
      <c r="L2" s="5"/>
      <c r="M2" s="6" t="s">
        <v>8</v>
      </c>
      <c r="N2" s="5"/>
      <c r="O2" s="6" t="s">
        <v>9</v>
      </c>
      <c r="P2" s="5"/>
      <c r="Q2" s="6" t="s">
        <v>10</v>
      </c>
      <c r="R2" s="5"/>
      <c r="S2" s="6" t="s">
        <v>12</v>
      </c>
      <c r="T2" s="7"/>
      <c r="U2" s="8" t="s">
        <v>1</v>
      </c>
      <c r="V2" s="7"/>
      <c r="W2" s="8" t="s">
        <v>2</v>
      </c>
      <c r="X2" s="7"/>
      <c r="Y2" s="9" t="s">
        <v>3</v>
      </c>
      <c r="Z2" s="47" t="s">
        <v>4</v>
      </c>
      <c r="AA2" s="48"/>
    </row>
    <row r="3" spans="1:27" s="10" customFormat="1" x14ac:dyDescent="0.25">
      <c r="A3" s="34"/>
      <c r="B3" s="35"/>
      <c r="C3" s="30"/>
      <c r="D3" s="11"/>
      <c r="E3" s="12"/>
      <c r="F3" s="13"/>
      <c r="G3" s="12"/>
      <c r="H3" s="13"/>
      <c r="I3" s="12"/>
      <c r="J3" s="13"/>
      <c r="K3" s="12"/>
      <c r="L3" s="13"/>
      <c r="M3" s="12">
        <v>7.0000000000000007E-2</v>
      </c>
      <c r="N3" s="13"/>
      <c r="O3" s="12">
        <v>7.0000000000000007E-2</v>
      </c>
      <c r="P3" s="13"/>
      <c r="Q3" s="12">
        <v>0.08</v>
      </c>
      <c r="R3" s="13"/>
      <c r="S3" s="12">
        <v>7.0000000000000007E-2</v>
      </c>
      <c r="T3" s="11"/>
      <c r="U3" s="14"/>
      <c r="V3" s="11"/>
      <c r="W3" s="14"/>
      <c r="X3" s="11"/>
      <c r="Y3" s="45">
        <v>2.5000000000000001E-2</v>
      </c>
      <c r="Z3" s="16"/>
      <c r="AA3" s="17"/>
    </row>
    <row r="4" spans="1:27" s="10" customFormat="1" x14ac:dyDescent="0.25">
      <c r="A4" s="34">
        <v>59</v>
      </c>
      <c r="B4" s="35">
        <v>57</v>
      </c>
      <c r="C4" s="31"/>
      <c r="E4" s="42"/>
      <c r="G4" s="18"/>
      <c r="I4" s="18">
        <v>250000</v>
      </c>
      <c r="K4" s="18">
        <v>250000</v>
      </c>
      <c r="M4" s="18">
        <v>400000</v>
      </c>
      <c r="O4" s="18">
        <v>100000</v>
      </c>
      <c r="Q4" s="18">
        <v>100000</v>
      </c>
      <c r="S4" s="18" t="s">
        <v>15</v>
      </c>
      <c r="U4" s="19"/>
      <c r="W4" s="19"/>
      <c r="Y4" s="15"/>
      <c r="Z4" s="16"/>
      <c r="AA4" s="17"/>
    </row>
    <row r="5" spans="1:27" s="10" customFormat="1" x14ac:dyDescent="0.25">
      <c r="A5" s="34"/>
      <c r="B5" s="35"/>
      <c r="C5" s="32"/>
      <c r="E5" s="21"/>
      <c r="G5" s="21"/>
      <c r="I5" s="21"/>
      <c r="K5" s="21"/>
      <c r="M5" s="44"/>
      <c r="O5" s="44"/>
      <c r="Q5" s="44"/>
      <c r="S5" s="21"/>
      <c r="U5" s="20"/>
      <c r="W5" s="20" t="s">
        <v>13</v>
      </c>
      <c r="Y5" s="21">
        <v>8000</v>
      </c>
      <c r="Z5" s="16"/>
      <c r="AA5" s="22"/>
    </row>
    <row r="6" spans="1:27" s="10" customFormat="1" ht="16.5" customHeight="1" x14ac:dyDescent="0.25">
      <c r="A6" s="34"/>
      <c r="B6" s="35"/>
      <c r="C6" s="32"/>
      <c r="E6" s="21"/>
      <c r="G6" s="21"/>
      <c r="I6" s="21"/>
      <c r="K6" s="21"/>
      <c r="M6" s="21"/>
      <c r="O6" s="21"/>
      <c r="Q6" s="21"/>
      <c r="S6" s="21"/>
      <c r="U6" s="20"/>
      <c r="W6" s="20"/>
      <c r="Y6" s="20"/>
      <c r="Z6" s="16"/>
      <c r="AA6" s="22"/>
    </row>
    <row r="7" spans="1:27" s="10" customFormat="1" x14ac:dyDescent="0.25">
      <c r="A7" s="36"/>
      <c r="B7" s="37"/>
      <c r="C7" s="32"/>
      <c r="E7" s="21"/>
      <c r="G7" s="21">
        <f>FV(G3,12,0,G4,0)*-1</f>
        <v>0</v>
      </c>
      <c r="I7" s="21">
        <f>FV(I3,12,0,I4,0)*-1</f>
        <v>250000</v>
      </c>
      <c r="K7" s="21">
        <f>FV(K3,12,0,K4,0)*-1</f>
        <v>250000</v>
      </c>
      <c r="M7" s="21">
        <f>FV(M3,2,27500,M4,0)*-1</f>
        <v>514885</v>
      </c>
      <c r="O7" s="21">
        <f>FV(O3,2,0,O4,0)*-1</f>
        <v>114490</v>
      </c>
      <c r="Q7" s="21">
        <f>FV(Q3,2,0,Q4,0)*-1</f>
        <v>116640.00000000001</v>
      </c>
      <c r="S7" s="21">
        <v>0</v>
      </c>
      <c r="U7" s="20"/>
      <c r="W7" s="20"/>
      <c r="Y7" s="21">
        <f>FV(Y3,3,0,Y5,0)*-1</f>
        <v>8615.1249999999982</v>
      </c>
      <c r="Z7" s="16"/>
      <c r="AA7" s="17"/>
    </row>
    <row r="8" spans="1:27" x14ac:dyDescent="0.25">
      <c r="A8" s="38">
        <v>60</v>
      </c>
      <c r="B8" s="39">
        <v>58</v>
      </c>
      <c r="C8" s="43">
        <v>0</v>
      </c>
      <c r="D8" s="24"/>
      <c r="E8" s="23">
        <f>60000</f>
        <v>60000</v>
      </c>
      <c r="F8" s="25"/>
      <c r="G8" s="23">
        <f>4700*12</f>
        <v>56400</v>
      </c>
      <c r="H8" s="25"/>
      <c r="I8" s="23">
        <v>16411</v>
      </c>
      <c r="J8" s="25"/>
      <c r="K8" s="23">
        <v>0</v>
      </c>
      <c r="L8" s="25"/>
      <c r="M8" s="23">
        <v>0</v>
      </c>
      <c r="N8" s="25"/>
      <c r="O8" s="23">
        <v>0</v>
      </c>
      <c r="P8" s="25"/>
      <c r="Q8" s="23">
        <v>0</v>
      </c>
      <c r="R8" s="25"/>
      <c r="S8" s="23">
        <f>S7*4%</f>
        <v>0</v>
      </c>
      <c r="T8" s="26"/>
      <c r="U8" s="23">
        <f>SUM(C8:T8)</f>
        <v>132811</v>
      </c>
      <c r="V8" s="26"/>
      <c r="W8" s="23">
        <f>U8*0.85/12</f>
        <v>9407.4458333333332</v>
      </c>
      <c r="X8" s="26"/>
      <c r="Y8" s="23">
        <f>Y7*1.02</f>
        <v>8787.427499999998</v>
      </c>
      <c r="Z8" s="27">
        <f>(C8+E8+G8+I8+K8)/12*0.8</f>
        <v>8854.0666666666675</v>
      </c>
      <c r="AA8" s="28">
        <f>Z8/W8</f>
        <v>0.94117647058823539</v>
      </c>
    </row>
    <row r="9" spans="1:27" x14ac:dyDescent="0.25">
      <c r="A9" s="38">
        <f t="shared" ref="A9:B24" si="0">A8+1</f>
        <v>61</v>
      </c>
      <c r="B9" s="39">
        <f t="shared" si="0"/>
        <v>59</v>
      </c>
      <c r="C9" s="33">
        <v>0</v>
      </c>
      <c r="D9" s="24"/>
      <c r="E9" s="23">
        <f>E8*1.02</f>
        <v>61200</v>
      </c>
      <c r="F9" s="25"/>
      <c r="G9" s="23">
        <f>G8*1.01</f>
        <v>56964</v>
      </c>
      <c r="H9" s="25"/>
      <c r="I9" s="23">
        <f>I8</f>
        <v>16411</v>
      </c>
      <c r="J9" s="25"/>
      <c r="K9" s="23">
        <f>K8</f>
        <v>0</v>
      </c>
      <c r="L9" s="25"/>
      <c r="M9" s="23">
        <f>M8*1.02</f>
        <v>0</v>
      </c>
      <c r="N9" s="25"/>
      <c r="O9" s="23">
        <f>O8*1.02</f>
        <v>0</v>
      </c>
      <c r="P9" s="25"/>
      <c r="Q9" s="23">
        <f>Q8*1.02</f>
        <v>0</v>
      </c>
      <c r="R9" s="25"/>
      <c r="S9" s="23">
        <f>S8*1.02</f>
        <v>0</v>
      </c>
      <c r="T9" s="25"/>
      <c r="U9" s="23">
        <f>SUM(C9:T9)</f>
        <v>134575</v>
      </c>
      <c r="V9" s="25"/>
      <c r="W9" s="23">
        <f t="shared" ref="W9:W31" si="1">U9*0.8/12</f>
        <v>8971.6666666666661</v>
      </c>
      <c r="X9" s="25"/>
      <c r="Y9" s="23">
        <f>Y8*(1+$Y$3)</f>
        <v>9007.1131874999974</v>
      </c>
      <c r="Z9" s="27">
        <f t="shared" ref="Z9:Z31" si="2">(C9+E9+G9+I9+K9)/12*0.8</f>
        <v>8971.6666666666679</v>
      </c>
      <c r="AA9" s="28">
        <f t="shared" ref="AA9:AA31" si="3">Z9/W9</f>
        <v>1.0000000000000002</v>
      </c>
    </row>
    <row r="10" spans="1:27" x14ac:dyDescent="0.25">
      <c r="A10" s="38">
        <f t="shared" si="0"/>
        <v>62</v>
      </c>
      <c r="B10" s="39">
        <f t="shared" si="0"/>
        <v>60</v>
      </c>
      <c r="C10" s="33">
        <v>0</v>
      </c>
      <c r="D10" s="24"/>
      <c r="E10" s="23">
        <f t="shared" ref="E10:E31" si="4">E9*1.02</f>
        <v>62424</v>
      </c>
      <c r="F10" s="25"/>
      <c r="G10" s="23">
        <f t="shared" ref="G10:G30" si="5">G9*1.01</f>
        <v>57533.64</v>
      </c>
      <c r="H10" s="25"/>
      <c r="I10" s="23">
        <f t="shared" ref="I10:I31" si="6">I9</f>
        <v>16411</v>
      </c>
      <c r="J10" s="25"/>
      <c r="K10" s="23">
        <f t="shared" ref="K10:K31" si="7">K9</f>
        <v>0</v>
      </c>
      <c r="L10" s="25"/>
      <c r="M10" s="23">
        <f t="shared" ref="M10:M31" si="8">M9*1.02</f>
        <v>0</v>
      </c>
      <c r="N10" s="25"/>
      <c r="O10" s="23">
        <f t="shared" ref="O10:O31" si="9">O9*1.02</f>
        <v>0</v>
      </c>
      <c r="P10" s="25"/>
      <c r="Q10" s="23">
        <f t="shared" ref="Q10:S25" si="10">Q9*1.02</f>
        <v>0</v>
      </c>
      <c r="R10" s="25"/>
      <c r="S10" s="23">
        <f t="shared" si="10"/>
        <v>0</v>
      </c>
      <c r="T10" s="25"/>
      <c r="U10" s="23">
        <f>SUM(C10:T10)</f>
        <v>136368.64000000001</v>
      </c>
      <c r="V10" s="25"/>
      <c r="W10" s="23">
        <f t="shared" si="1"/>
        <v>9091.242666666667</v>
      </c>
      <c r="X10" s="25"/>
      <c r="Y10" s="23">
        <f t="shared" ref="Y10:Y31" si="11">Y9*(1+$Y$3)</f>
        <v>9232.2910171874973</v>
      </c>
      <c r="Z10" s="27">
        <f t="shared" si="2"/>
        <v>9091.2426666666688</v>
      </c>
      <c r="AA10" s="28">
        <f t="shared" si="3"/>
        <v>1.0000000000000002</v>
      </c>
    </row>
    <row r="11" spans="1:27" x14ac:dyDescent="0.25">
      <c r="A11" s="38">
        <f t="shared" si="0"/>
        <v>63</v>
      </c>
      <c r="B11" s="39">
        <f t="shared" si="0"/>
        <v>61</v>
      </c>
      <c r="C11" s="33">
        <f t="shared" ref="C11:C31" si="12">C10*1.02</f>
        <v>0</v>
      </c>
      <c r="D11" s="24"/>
      <c r="E11" s="23">
        <f t="shared" si="4"/>
        <v>63672.480000000003</v>
      </c>
      <c r="F11" s="25"/>
      <c r="G11" s="23">
        <f t="shared" si="5"/>
        <v>58108.9764</v>
      </c>
      <c r="H11" s="25"/>
      <c r="I11" s="23">
        <f t="shared" si="6"/>
        <v>16411</v>
      </c>
      <c r="J11" s="25"/>
      <c r="K11" s="23">
        <f t="shared" si="7"/>
        <v>0</v>
      </c>
      <c r="L11" s="25"/>
      <c r="M11" s="23">
        <f t="shared" si="8"/>
        <v>0</v>
      </c>
      <c r="N11" s="25"/>
      <c r="O11" s="23">
        <f t="shared" si="9"/>
        <v>0</v>
      </c>
      <c r="P11" s="25"/>
      <c r="Q11" s="23">
        <f t="shared" si="10"/>
        <v>0</v>
      </c>
      <c r="R11" s="25"/>
      <c r="S11" s="23">
        <f t="shared" si="10"/>
        <v>0</v>
      </c>
      <c r="T11" s="25"/>
      <c r="U11" s="23">
        <f>SUM(C11:T11)</f>
        <v>138192.4564</v>
      </c>
      <c r="V11" s="25"/>
      <c r="W11" s="23">
        <f t="shared" si="1"/>
        <v>9212.8304266666673</v>
      </c>
      <c r="X11" s="25"/>
      <c r="Y11" s="23">
        <f t="shared" si="11"/>
        <v>9463.0982926171837</v>
      </c>
      <c r="Z11" s="27">
        <f t="shared" si="2"/>
        <v>9212.8304266666655</v>
      </c>
      <c r="AA11" s="28">
        <f t="shared" si="3"/>
        <v>0.99999999999999978</v>
      </c>
    </row>
    <row r="12" spans="1:27" x14ac:dyDescent="0.25">
      <c r="A12" s="38">
        <f t="shared" si="0"/>
        <v>64</v>
      </c>
      <c r="B12" s="39">
        <f t="shared" si="0"/>
        <v>62</v>
      </c>
      <c r="C12" s="33">
        <f t="shared" si="12"/>
        <v>0</v>
      </c>
      <c r="D12" s="24"/>
      <c r="E12" s="23">
        <f t="shared" si="4"/>
        <v>64945.929600000003</v>
      </c>
      <c r="F12" s="25"/>
      <c r="G12" s="23">
        <f t="shared" si="5"/>
        <v>58690.066164000003</v>
      </c>
      <c r="H12" s="25"/>
      <c r="I12" s="23">
        <f t="shared" si="6"/>
        <v>16411</v>
      </c>
      <c r="J12" s="25"/>
      <c r="K12" s="23">
        <f t="shared" si="7"/>
        <v>0</v>
      </c>
      <c r="L12" s="25"/>
      <c r="M12" s="23">
        <f t="shared" si="8"/>
        <v>0</v>
      </c>
      <c r="N12" s="25"/>
      <c r="O12" s="23">
        <f t="shared" si="9"/>
        <v>0</v>
      </c>
      <c r="P12" s="25"/>
      <c r="Q12" s="23">
        <f t="shared" si="10"/>
        <v>0</v>
      </c>
      <c r="R12" s="25"/>
      <c r="S12" s="23">
        <f t="shared" si="10"/>
        <v>0</v>
      </c>
      <c r="T12" s="25"/>
      <c r="U12" s="23">
        <f>SUM(C12:T12)</f>
        <v>140046.99576399999</v>
      </c>
      <c r="V12" s="25"/>
      <c r="W12" s="23">
        <f t="shared" si="1"/>
        <v>9336.4663842666669</v>
      </c>
      <c r="X12" s="25"/>
      <c r="Y12" s="23">
        <f t="shared" si="11"/>
        <v>9699.6757499326122</v>
      </c>
      <c r="Z12" s="27">
        <f t="shared" si="2"/>
        <v>9336.4663842666669</v>
      </c>
      <c r="AA12" s="28">
        <f t="shared" si="3"/>
        <v>1</v>
      </c>
    </row>
    <row r="13" spans="1:27" ht="15.75" customHeight="1" x14ac:dyDescent="0.25">
      <c r="A13" s="38">
        <f t="shared" si="0"/>
        <v>65</v>
      </c>
      <c r="B13" s="39">
        <f t="shared" si="0"/>
        <v>63</v>
      </c>
      <c r="C13" s="33">
        <f t="shared" si="12"/>
        <v>0</v>
      </c>
      <c r="D13" s="24"/>
      <c r="E13" s="23">
        <v>36000</v>
      </c>
      <c r="F13" s="25"/>
      <c r="G13" s="23">
        <f t="shared" si="5"/>
        <v>59276.966825640004</v>
      </c>
      <c r="H13" s="25"/>
      <c r="I13" s="23">
        <f t="shared" si="6"/>
        <v>16411</v>
      </c>
      <c r="J13" s="25"/>
      <c r="K13" s="23">
        <v>25670</v>
      </c>
      <c r="L13" s="25"/>
      <c r="M13" s="23">
        <f>M7*3.5%</f>
        <v>18020.975000000002</v>
      </c>
      <c r="N13" s="25"/>
      <c r="O13" s="23">
        <f t="shared" si="9"/>
        <v>0</v>
      </c>
      <c r="P13" s="25"/>
      <c r="Q13" s="23">
        <f t="shared" si="10"/>
        <v>0</v>
      </c>
      <c r="R13" s="25"/>
      <c r="S13" s="23">
        <f t="shared" si="10"/>
        <v>0</v>
      </c>
      <c r="T13" s="25"/>
      <c r="U13" s="23">
        <f>SUM(C13:T13)</f>
        <v>155378.94182564001</v>
      </c>
      <c r="V13" s="25"/>
      <c r="W13" s="23">
        <f t="shared" si="1"/>
        <v>10358.596121709334</v>
      </c>
      <c r="X13" s="25"/>
      <c r="Y13" s="23">
        <f t="shared" si="11"/>
        <v>9942.1676436809266</v>
      </c>
      <c r="Z13" s="27">
        <f t="shared" si="2"/>
        <v>9157.197788376001</v>
      </c>
      <c r="AA13" s="28">
        <f t="shared" si="3"/>
        <v>0.88401919341024726</v>
      </c>
    </row>
    <row r="14" spans="1:27" x14ac:dyDescent="0.25">
      <c r="A14" s="38">
        <f t="shared" si="0"/>
        <v>66</v>
      </c>
      <c r="B14" s="39">
        <f t="shared" si="0"/>
        <v>64</v>
      </c>
      <c r="C14" s="33">
        <f>3250*12</f>
        <v>39000</v>
      </c>
      <c r="D14" s="24"/>
      <c r="E14" s="23">
        <f>3000*12</f>
        <v>36000</v>
      </c>
      <c r="F14" s="25"/>
      <c r="G14" s="23">
        <f t="shared" si="5"/>
        <v>59869.736493896402</v>
      </c>
      <c r="H14" s="25"/>
      <c r="I14" s="23">
        <f t="shared" si="6"/>
        <v>16411</v>
      </c>
      <c r="J14" s="25"/>
      <c r="K14" s="23">
        <f t="shared" si="7"/>
        <v>25670</v>
      </c>
      <c r="L14" s="25"/>
      <c r="M14" s="23">
        <f t="shared" si="8"/>
        <v>18381.394500000002</v>
      </c>
      <c r="N14" s="25"/>
      <c r="O14" s="23">
        <f t="shared" si="9"/>
        <v>0</v>
      </c>
      <c r="P14" s="25"/>
      <c r="Q14" s="23">
        <f t="shared" si="10"/>
        <v>0</v>
      </c>
      <c r="R14" s="25"/>
      <c r="S14" s="23">
        <f t="shared" si="10"/>
        <v>0</v>
      </c>
      <c r="T14" s="25"/>
      <c r="U14" s="23">
        <f>SUM(C14:T14)</f>
        <v>195332.1309938964</v>
      </c>
      <c r="V14" s="25"/>
      <c r="W14" s="23">
        <f t="shared" si="1"/>
        <v>13022.142066259759</v>
      </c>
      <c r="X14" s="25"/>
      <c r="Y14" s="23">
        <f t="shared" si="11"/>
        <v>10190.721834772949</v>
      </c>
      <c r="Z14" s="27">
        <f t="shared" si="2"/>
        <v>11796.71576625976</v>
      </c>
      <c r="AA14" s="28">
        <f t="shared" si="3"/>
        <v>0.90589671854563258</v>
      </c>
    </row>
    <row r="15" spans="1:27" x14ac:dyDescent="0.25">
      <c r="A15" s="38">
        <f t="shared" si="0"/>
        <v>67</v>
      </c>
      <c r="B15" s="39">
        <f t="shared" si="0"/>
        <v>65</v>
      </c>
      <c r="C15" s="33">
        <f t="shared" si="12"/>
        <v>39780</v>
      </c>
      <c r="D15" s="24"/>
      <c r="E15" s="23">
        <f t="shared" si="4"/>
        <v>36720</v>
      </c>
      <c r="F15" s="25"/>
      <c r="G15" s="23">
        <f t="shared" si="5"/>
        <v>60468.433858835364</v>
      </c>
      <c r="H15" s="25"/>
      <c r="I15" s="23">
        <f t="shared" si="6"/>
        <v>16411</v>
      </c>
      <c r="J15" s="25"/>
      <c r="K15" s="23">
        <f t="shared" si="7"/>
        <v>25670</v>
      </c>
      <c r="L15" s="25"/>
      <c r="M15" s="23">
        <f t="shared" si="8"/>
        <v>18749.022390000002</v>
      </c>
      <c r="N15" s="25"/>
      <c r="O15" s="23">
        <f t="shared" si="9"/>
        <v>0</v>
      </c>
      <c r="P15" s="25"/>
      <c r="Q15" s="23">
        <f t="shared" si="10"/>
        <v>0</v>
      </c>
      <c r="R15" s="25"/>
      <c r="S15" s="23">
        <f t="shared" si="10"/>
        <v>0</v>
      </c>
      <c r="T15" s="25"/>
      <c r="U15" s="23">
        <f>SUM(C15:T15)</f>
        <v>197798.45624883537</v>
      </c>
      <c r="V15" s="25"/>
      <c r="W15" s="23">
        <f t="shared" si="1"/>
        <v>13186.563749922359</v>
      </c>
      <c r="X15" s="25"/>
      <c r="Y15" s="23">
        <f t="shared" si="11"/>
        <v>10445.489880642272</v>
      </c>
      <c r="Z15" s="27">
        <f t="shared" si="2"/>
        <v>11936.628923922359</v>
      </c>
      <c r="AA15" s="28">
        <f t="shared" si="3"/>
        <v>0.90521148271039453</v>
      </c>
    </row>
    <row r="16" spans="1:27" x14ac:dyDescent="0.25">
      <c r="A16" s="38">
        <f t="shared" si="0"/>
        <v>68</v>
      </c>
      <c r="B16" s="39">
        <f t="shared" si="0"/>
        <v>66</v>
      </c>
      <c r="C16" s="33">
        <f t="shared" si="12"/>
        <v>40575.599999999999</v>
      </c>
      <c r="D16" s="24"/>
      <c r="E16" s="23">
        <f t="shared" si="4"/>
        <v>37454.400000000001</v>
      </c>
      <c r="F16" s="25"/>
      <c r="G16" s="23">
        <f t="shared" si="5"/>
        <v>61073.118197423719</v>
      </c>
      <c r="H16" s="25"/>
      <c r="I16" s="23">
        <f t="shared" si="6"/>
        <v>16411</v>
      </c>
      <c r="J16" s="25"/>
      <c r="K16" s="23">
        <f t="shared" si="7"/>
        <v>25670</v>
      </c>
      <c r="L16" s="25"/>
      <c r="M16" s="23">
        <f t="shared" si="8"/>
        <v>19124.002837800002</v>
      </c>
      <c r="N16" s="25"/>
      <c r="O16" s="23">
        <f t="shared" si="9"/>
        <v>0</v>
      </c>
      <c r="P16" s="25"/>
      <c r="Q16" s="23">
        <f t="shared" si="10"/>
        <v>0</v>
      </c>
      <c r="R16" s="25"/>
      <c r="S16" s="23">
        <f t="shared" si="10"/>
        <v>0</v>
      </c>
      <c r="T16" s="25"/>
      <c r="U16" s="23">
        <f>SUM(C16:T16)</f>
        <v>200308.12103522374</v>
      </c>
      <c r="V16" s="25"/>
      <c r="W16" s="23">
        <f t="shared" si="1"/>
        <v>13353.874735681582</v>
      </c>
      <c r="X16" s="25"/>
      <c r="Y16" s="23">
        <f t="shared" si="11"/>
        <v>10706.627127658327</v>
      </c>
      <c r="Z16" s="27">
        <f t="shared" si="2"/>
        <v>12078.941213161583</v>
      </c>
      <c r="AA16" s="28">
        <f t="shared" si="3"/>
        <v>0.90452707189821291</v>
      </c>
    </row>
    <row r="17" spans="1:27" x14ac:dyDescent="0.25">
      <c r="A17" s="38">
        <f t="shared" si="0"/>
        <v>69</v>
      </c>
      <c r="B17" s="39">
        <f t="shared" si="0"/>
        <v>67</v>
      </c>
      <c r="C17" s="33">
        <f t="shared" si="12"/>
        <v>41387.112000000001</v>
      </c>
      <c r="D17" s="24"/>
      <c r="E17" s="23">
        <f t="shared" si="4"/>
        <v>38203.488000000005</v>
      </c>
      <c r="F17" s="25"/>
      <c r="G17" s="23">
        <f t="shared" si="5"/>
        <v>61683.849379397958</v>
      </c>
      <c r="H17" s="25"/>
      <c r="I17" s="23">
        <f t="shared" si="6"/>
        <v>16411</v>
      </c>
      <c r="J17" s="25"/>
      <c r="K17" s="23">
        <f t="shared" si="7"/>
        <v>25670</v>
      </c>
      <c r="L17" s="25"/>
      <c r="M17" s="23">
        <f t="shared" si="8"/>
        <v>19506.482894556004</v>
      </c>
      <c r="N17" s="25"/>
      <c r="O17" s="23">
        <f t="shared" si="9"/>
        <v>0</v>
      </c>
      <c r="P17" s="25"/>
      <c r="Q17" s="23">
        <f t="shared" si="10"/>
        <v>0</v>
      </c>
      <c r="R17" s="25"/>
      <c r="S17" s="23">
        <f t="shared" si="10"/>
        <v>0</v>
      </c>
      <c r="T17" s="25"/>
      <c r="U17" s="23">
        <f>SUM(C17:T17)</f>
        <v>202861.93227395398</v>
      </c>
      <c r="V17" s="25"/>
      <c r="W17" s="23">
        <f t="shared" si="1"/>
        <v>13524.1288182636</v>
      </c>
      <c r="X17" s="25"/>
      <c r="Y17" s="23">
        <f t="shared" si="11"/>
        <v>10974.292805849784</v>
      </c>
      <c r="Z17" s="27">
        <f t="shared" si="2"/>
        <v>12223.696625293198</v>
      </c>
      <c r="AA17" s="28">
        <f t="shared" si="3"/>
        <v>0.90384355174033548</v>
      </c>
    </row>
    <row r="18" spans="1:27" x14ac:dyDescent="0.25">
      <c r="A18" s="38">
        <f t="shared" si="0"/>
        <v>70</v>
      </c>
      <c r="B18" s="39">
        <f t="shared" si="0"/>
        <v>68</v>
      </c>
      <c r="C18" s="33">
        <f t="shared" si="12"/>
        <v>42214.854240000001</v>
      </c>
      <c r="D18" s="24"/>
      <c r="E18" s="23">
        <f t="shared" si="4"/>
        <v>38967.557760000003</v>
      </c>
      <c r="F18" s="25"/>
      <c r="G18" s="23">
        <f t="shared" si="5"/>
        <v>62300.687873191935</v>
      </c>
      <c r="H18" s="25"/>
      <c r="I18" s="23">
        <f t="shared" si="6"/>
        <v>16411</v>
      </c>
      <c r="J18" s="25"/>
      <c r="K18" s="23">
        <f t="shared" si="7"/>
        <v>25670</v>
      </c>
      <c r="L18" s="25"/>
      <c r="M18" s="23">
        <f t="shared" si="8"/>
        <v>19896.612552447124</v>
      </c>
      <c r="N18" s="25"/>
      <c r="O18" s="23">
        <f t="shared" si="9"/>
        <v>0</v>
      </c>
      <c r="P18" s="25"/>
      <c r="Q18" s="23">
        <f t="shared" si="10"/>
        <v>0</v>
      </c>
      <c r="R18" s="25"/>
      <c r="S18" s="23">
        <f t="shared" si="10"/>
        <v>0</v>
      </c>
      <c r="T18" s="25"/>
      <c r="U18" s="23">
        <f>SUM(C18:T18)</f>
        <v>205460.71242563907</v>
      </c>
      <c r="V18" s="25"/>
      <c r="W18" s="23">
        <f t="shared" si="1"/>
        <v>13697.380828375937</v>
      </c>
      <c r="X18" s="25"/>
      <c r="Y18" s="23">
        <f t="shared" si="11"/>
        <v>11248.650125996028</v>
      </c>
      <c r="Z18" s="27">
        <f t="shared" si="2"/>
        <v>12370.939991546131</v>
      </c>
      <c r="AA18" s="28">
        <f t="shared" si="3"/>
        <v>0.90316098723911442</v>
      </c>
    </row>
    <row r="19" spans="1:27" x14ac:dyDescent="0.25">
      <c r="A19" s="38">
        <f t="shared" si="0"/>
        <v>71</v>
      </c>
      <c r="B19" s="39">
        <f t="shared" si="0"/>
        <v>69</v>
      </c>
      <c r="C19" s="33">
        <f t="shared" si="12"/>
        <v>43059.151324800005</v>
      </c>
      <c r="D19" s="24"/>
      <c r="E19" s="23">
        <f t="shared" si="4"/>
        <v>39746.908915200002</v>
      </c>
      <c r="F19" s="25"/>
      <c r="G19" s="23">
        <f t="shared" si="5"/>
        <v>62923.694751923853</v>
      </c>
      <c r="H19" s="25"/>
      <c r="I19" s="23">
        <f t="shared" si="6"/>
        <v>16411</v>
      </c>
      <c r="J19" s="25"/>
      <c r="K19" s="23">
        <f t="shared" si="7"/>
        <v>25670</v>
      </c>
      <c r="L19" s="25"/>
      <c r="M19" s="23">
        <f t="shared" si="8"/>
        <v>20294.544803496068</v>
      </c>
      <c r="N19" s="25"/>
      <c r="O19" s="23">
        <f t="shared" si="9"/>
        <v>0</v>
      </c>
      <c r="P19" s="25"/>
      <c r="Q19" s="23">
        <f t="shared" si="10"/>
        <v>0</v>
      </c>
      <c r="R19" s="25"/>
      <c r="S19" s="23">
        <f t="shared" si="10"/>
        <v>0</v>
      </c>
      <c r="T19" s="25"/>
      <c r="U19" s="23">
        <f>SUM(C19:T19)</f>
        <v>208105.29979541994</v>
      </c>
      <c r="V19" s="25"/>
      <c r="W19" s="23">
        <f t="shared" si="1"/>
        <v>13873.686653027997</v>
      </c>
      <c r="X19" s="25"/>
      <c r="Y19" s="23">
        <f t="shared" si="11"/>
        <v>11529.866379145928</v>
      </c>
      <c r="Z19" s="27">
        <f t="shared" si="2"/>
        <v>12520.716999461591</v>
      </c>
      <c r="AA19" s="28">
        <f t="shared" si="3"/>
        <v>0.90247944274630754</v>
      </c>
    </row>
    <row r="20" spans="1:27" x14ac:dyDescent="0.25">
      <c r="A20" s="38">
        <f t="shared" si="0"/>
        <v>72</v>
      </c>
      <c r="B20" s="39">
        <f t="shared" si="0"/>
        <v>70</v>
      </c>
      <c r="C20" s="33">
        <f t="shared" si="12"/>
        <v>43920.334351296005</v>
      </c>
      <c r="D20" s="25"/>
      <c r="E20" s="23">
        <f t="shared" si="4"/>
        <v>40541.847093504002</v>
      </c>
      <c r="F20" s="25"/>
      <c r="G20" s="23">
        <f t="shared" si="5"/>
        <v>63552.931699443092</v>
      </c>
      <c r="H20" s="25"/>
      <c r="I20" s="23">
        <f t="shared" si="6"/>
        <v>16411</v>
      </c>
      <c r="J20" s="25"/>
      <c r="K20" s="23">
        <f t="shared" si="7"/>
        <v>25670</v>
      </c>
      <c r="L20" s="25"/>
      <c r="M20" s="23">
        <f t="shared" si="8"/>
        <v>20700.435699565991</v>
      </c>
      <c r="N20" s="25"/>
      <c r="O20" s="23">
        <f t="shared" si="9"/>
        <v>0</v>
      </c>
      <c r="P20" s="25"/>
      <c r="Q20" s="23">
        <f t="shared" si="10"/>
        <v>0</v>
      </c>
      <c r="R20" s="25"/>
      <c r="S20" s="23">
        <f t="shared" si="10"/>
        <v>0</v>
      </c>
      <c r="T20" s="25"/>
      <c r="U20" s="23">
        <f>SUM(C20:T20)</f>
        <v>210796.54884380911</v>
      </c>
      <c r="V20" s="25"/>
      <c r="W20" s="23">
        <f t="shared" si="1"/>
        <v>14053.103256253942</v>
      </c>
      <c r="X20" s="25"/>
      <c r="Y20" s="23">
        <f t="shared" si="11"/>
        <v>11818.113038624575</v>
      </c>
      <c r="Z20" s="27">
        <f t="shared" si="2"/>
        <v>12673.074209616207</v>
      </c>
      <c r="AA20" s="28">
        <f t="shared" si="3"/>
        <v>0.90179898194204244</v>
      </c>
    </row>
    <row r="21" spans="1:27" x14ac:dyDescent="0.25">
      <c r="A21" s="38">
        <f t="shared" si="0"/>
        <v>73</v>
      </c>
      <c r="B21" s="39">
        <f t="shared" si="0"/>
        <v>71</v>
      </c>
      <c r="C21" s="33">
        <f t="shared" si="12"/>
        <v>44798.741038321925</v>
      </c>
      <c r="D21" s="25"/>
      <c r="E21" s="23">
        <f t="shared" si="4"/>
        <v>41352.684035374084</v>
      </c>
      <c r="F21" s="25"/>
      <c r="G21" s="23">
        <f t="shared" si="5"/>
        <v>64188.461016437526</v>
      </c>
      <c r="H21" s="25"/>
      <c r="I21" s="23">
        <f t="shared" si="6"/>
        <v>16411</v>
      </c>
      <c r="J21" s="25"/>
      <c r="K21" s="23">
        <f t="shared" si="7"/>
        <v>25670</v>
      </c>
      <c r="L21" s="25"/>
      <c r="M21" s="23">
        <f t="shared" si="8"/>
        <v>21114.44441355731</v>
      </c>
      <c r="N21" s="25"/>
      <c r="O21" s="23">
        <f t="shared" si="9"/>
        <v>0</v>
      </c>
      <c r="P21" s="25"/>
      <c r="Q21" s="23">
        <f t="shared" si="10"/>
        <v>0</v>
      </c>
      <c r="R21" s="25"/>
      <c r="S21" s="23">
        <f t="shared" si="10"/>
        <v>0</v>
      </c>
      <c r="T21" s="25"/>
      <c r="U21" s="23">
        <f>SUM(C21:T21)</f>
        <v>213535.33050369084</v>
      </c>
      <c r="V21" s="25"/>
      <c r="W21" s="23">
        <f t="shared" si="1"/>
        <v>14235.688700246057</v>
      </c>
      <c r="X21" s="25"/>
      <c r="Y21" s="23">
        <f t="shared" si="11"/>
        <v>12113.565864590188</v>
      </c>
      <c r="Z21" s="27">
        <f t="shared" si="2"/>
        <v>12828.059072675569</v>
      </c>
      <c r="AA21" s="28">
        <f t="shared" si="3"/>
        <v>0.90111966781444452</v>
      </c>
    </row>
    <row r="22" spans="1:27" x14ac:dyDescent="0.25">
      <c r="A22" s="38">
        <f t="shared" si="0"/>
        <v>74</v>
      </c>
      <c r="B22" s="39">
        <f t="shared" si="0"/>
        <v>72</v>
      </c>
      <c r="C22" s="33">
        <f t="shared" si="12"/>
        <v>45694.715859088363</v>
      </c>
      <c r="D22" s="25"/>
      <c r="E22" s="23">
        <f t="shared" si="4"/>
        <v>42179.737716081567</v>
      </c>
      <c r="F22" s="25"/>
      <c r="G22" s="23">
        <f t="shared" si="5"/>
        <v>64830.345626601906</v>
      </c>
      <c r="H22" s="25"/>
      <c r="I22" s="23">
        <f t="shared" si="6"/>
        <v>16411</v>
      </c>
      <c r="J22" s="25"/>
      <c r="K22" s="23">
        <f t="shared" si="7"/>
        <v>25670</v>
      </c>
      <c r="L22" s="25"/>
      <c r="M22" s="23">
        <f t="shared" si="8"/>
        <v>21536.733301828455</v>
      </c>
      <c r="N22" s="25"/>
      <c r="O22" s="23">
        <f t="shared" si="9"/>
        <v>0</v>
      </c>
      <c r="P22" s="25"/>
      <c r="Q22" s="23">
        <f t="shared" si="10"/>
        <v>0</v>
      </c>
      <c r="R22" s="25"/>
      <c r="S22" s="23">
        <f t="shared" si="10"/>
        <v>0</v>
      </c>
      <c r="T22" s="25"/>
      <c r="U22" s="23">
        <f>SUM(C22:T22)</f>
        <v>216322.53250360029</v>
      </c>
      <c r="V22" s="25"/>
      <c r="W22" s="23">
        <f t="shared" si="1"/>
        <v>14421.502166906686</v>
      </c>
      <c r="X22" s="25"/>
      <c r="Y22" s="23">
        <f t="shared" si="11"/>
        <v>12416.405011204941</v>
      </c>
      <c r="Z22" s="27">
        <f t="shared" si="2"/>
        <v>12985.719946784789</v>
      </c>
      <c r="AA22" s="28">
        <f t="shared" si="3"/>
        <v>0.90044156263994357</v>
      </c>
    </row>
    <row r="23" spans="1:27" x14ac:dyDescent="0.25">
      <c r="A23" s="38">
        <f t="shared" si="0"/>
        <v>75</v>
      </c>
      <c r="B23" s="39">
        <f t="shared" si="0"/>
        <v>73</v>
      </c>
      <c r="C23" s="33">
        <f t="shared" si="12"/>
        <v>46608.610176270129</v>
      </c>
      <c r="D23" s="25"/>
      <c r="E23" s="23">
        <f t="shared" si="4"/>
        <v>43023.332470403198</v>
      </c>
      <c r="F23" s="25"/>
      <c r="G23" s="23">
        <f t="shared" si="5"/>
        <v>65478.649082867923</v>
      </c>
      <c r="H23" s="25"/>
      <c r="I23" s="23">
        <f t="shared" si="6"/>
        <v>16411</v>
      </c>
      <c r="J23" s="25"/>
      <c r="K23" s="23">
        <f t="shared" si="7"/>
        <v>25670</v>
      </c>
      <c r="L23" s="25"/>
      <c r="M23" s="23">
        <f t="shared" si="8"/>
        <v>21967.467967865025</v>
      </c>
      <c r="N23" s="25"/>
      <c r="O23" s="23">
        <f t="shared" si="9"/>
        <v>0</v>
      </c>
      <c r="P23" s="25"/>
      <c r="Q23" s="23">
        <f t="shared" si="10"/>
        <v>0</v>
      </c>
      <c r="R23" s="25"/>
      <c r="S23" s="23">
        <f t="shared" si="10"/>
        <v>0</v>
      </c>
      <c r="T23" s="25"/>
      <c r="U23" s="23">
        <f>SUM(C23:T23)</f>
        <v>219159.05969740628</v>
      </c>
      <c r="V23" s="25"/>
      <c r="W23" s="23">
        <f t="shared" si="1"/>
        <v>14610.603979827087</v>
      </c>
      <c r="X23" s="25"/>
      <c r="Y23" s="23">
        <f t="shared" si="11"/>
        <v>12726.815136485064</v>
      </c>
      <c r="Z23" s="27">
        <f t="shared" si="2"/>
        <v>13146.106115302749</v>
      </c>
      <c r="AA23" s="28">
        <f t="shared" si="3"/>
        <v>0.89976472796426654</v>
      </c>
    </row>
    <row r="24" spans="1:27" x14ac:dyDescent="0.25">
      <c r="A24" s="38">
        <f t="shared" si="0"/>
        <v>76</v>
      </c>
      <c r="B24" s="39">
        <f t="shared" si="0"/>
        <v>74</v>
      </c>
      <c r="C24" s="33">
        <f t="shared" si="12"/>
        <v>47540.782379795535</v>
      </c>
      <c r="D24" s="25"/>
      <c r="E24" s="23">
        <f t="shared" si="4"/>
        <v>43883.799119811265</v>
      </c>
      <c r="F24" s="25"/>
      <c r="G24" s="23">
        <f t="shared" si="5"/>
        <v>66133.43557369661</v>
      </c>
      <c r="H24" s="25"/>
      <c r="I24" s="23">
        <f t="shared" si="6"/>
        <v>16411</v>
      </c>
      <c r="J24" s="25"/>
      <c r="K24" s="23">
        <f t="shared" si="7"/>
        <v>25670</v>
      </c>
      <c r="L24" s="25"/>
      <c r="M24" s="23">
        <f t="shared" si="8"/>
        <v>22406.817327222325</v>
      </c>
      <c r="N24" s="25"/>
      <c r="O24" s="23">
        <f t="shared" si="9"/>
        <v>0</v>
      </c>
      <c r="P24" s="25"/>
      <c r="Q24" s="23">
        <f t="shared" si="10"/>
        <v>0</v>
      </c>
      <c r="R24" s="25"/>
      <c r="S24" s="23">
        <f t="shared" si="10"/>
        <v>0</v>
      </c>
      <c r="T24" s="25"/>
      <c r="U24" s="23">
        <f>SUM(C24:T24)</f>
        <v>222045.83440052572</v>
      </c>
      <c r="V24" s="25"/>
      <c r="W24" s="23">
        <f t="shared" si="1"/>
        <v>14803.055626701716</v>
      </c>
      <c r="X24" s="25"/>
      <c r="Y24" s="23">
        <f t="shared" si="11"/>
        <v>13044.985514897189</v>
      </c>
      <c r="Z24" s="27">
        <f t="shared" si="2"/>
        <v>13309.267804886893</v>
      </c>
      <c r="AA24" s="28">
        <f t="shared" si="3"/>
        <v>0.89908922458412355</v>
      </c>
    </row>
    <row r="25" spans="1:27" x14ac:dyDescent="0.25">
      <c r="A25" s="38">
        <f t="shared" ref="A25:B31" si="13">A24+1</f>
        <v>77</v>
      </c>
      <c r="B25" s="39">
        <f t="shared" si="13"/>
        <v>75</v>
      </c>
      <c r="C25" s="33">
        <f t="shared" si="12"/>
        <v>48491.598027391447</v>
      </c>
      <c r="D25" s="25"/>
      <c r="E25" s="23">
        <f t="shared" si="4"/>
        <v>44761.475102207492</v>
      </c>
      <c r="F25" s="25"/>
      <c r="G25" s="23">
        <f t="shared" si="5"/>
        <v>66794.769929433576</v>
      </c>
      <c r="H25" s="25"/>
      <c r="I25" s="23">
        <f t="shared" si="6"/>
        <v>16411</v>
      </c>
      <c r="J25" s="25"/>
      <c r="K25" s="23">
        <f t="shared" si="7"/>
        <v>25670</v>
      </c>
      <c r="L25" s="25"/>
      <c r="M25" s="23">
        <f t="shared" si="8"/>
        <v>22854.953673766773</v>
      </c>
      <c r="N25" s="25"/>
      <c r="O25" s="23">
        <f t="shared" si="9"/>
        <v>0</v>
      </c>
      <c r="P25" s="25"/>
      <c r="Q25" s="23">
        <f t="shared" si="10"/>
        <v>0</v>
      </c>
      <c r="R25" s="25"/>
      <c r="S25" s="23">
        <f t="shared" si="10"/>
        <v>0</v>
      </c>
      <c r="T25" s="25"/>
      <c r="U25" s="23">
        <f>SUM(C25:T25)</f>
        <v>224983.7967327993</v>
      </c>
      <c r="V25" s="25"/>
      <c r="W25" s="23">
        <f t="shared" si="1"/>
        <v>14998.91978218662</v>
      </c>
      <c r="X25" s="25"/>
      <c r="Y25" s="23">
        <f t="shared" si="11"/>
        <v>13371.110152769617</v>
      </c>
      <c r="Z25" s="27">
        <f t="shared" si="2"/>
        <v>13475.256203935503</v>
      </c>
      <c r="AA25" s="28">
        <f t="shared" si="3"/>
        <v>0.89841511252959116</v>
      </c>
    </row>
    <row r="26" spans="1:27" x14ac:dyDescent="0.25">
      <c r="A26" s="38">
        <f t="shared" si="13"/>
        <v>78</v>
      </c>
      <c r="B26" s="39">
        <f t="shared" si="13"/>
        <v>76</v>
      </c>
      <c r="C26" s="33">
        <f t="shared" si="12"/>
        <v>49461.429987939278</v>
      </c>
      <c r="D26" s="25"/>
      <c r="E26" s="23">
        <f t="shared" si="4"/>
        <v>45656.704604251645</v>
      </c>
      <c r="F26" s="25"/>
      <c r="G26" s="23">
        <f t="shared" si="5"/>
        <v>67462.717628727914</v>
      </c>
      <c r="H26" s="25"/>
      <c r="I26" s="23">
        <f t="shared" si="6"/>
        <v>16411</v>
      </c>
      <c r="J26" s="25"/>
      <c r="K26" s="23">
        <f t="shared" si="7"/>
        <v>25670</v>
      </c>
      <c r="L26" s="25"/>
      <c r="M26" s="23">
        <f t="shared" si="8"/>
        <v>23312.052747242109</v>
      </c>
      <c r="N26" s="25"/>
      <c r="O26" s="23">
        <f t="shared" si="9"/>
        <v>0</v>
      </c>
      <c r="P26" s="25"/>
      <c r="Q26" s="23">
        <f t="shared" ref="Q26:S31" si="14">Q25*1.02</f>
        <v>0</v>
      </c>
      <c r="R26" s="25"/>
      <c r="S26" s="23">
        <f t="shared" si="14"/>
        <v>0</v>
      </c>
      <c r="T26" s="25"/>
      <c r="U26" s="23">
        <f>SUM(C26:T26)</f>
        <v>227973.90496816096</v>
      </c>
      <c r="V26" s="25"/>
      <c r="W26" s="23">
        <f t="shared" si="1"/>
        <v>15198.260331210731</v>
      </c>
      <c r="X26" s="25"/>
      <c r="Y26" s="23">
        <f t="shared" si="11"/>
        <v>13705.387906588856</v>
      </c>
      <c r="Z26" s="27">
        <f t="shared" si="2"/>
        <v>13644.12348139459</v>
      </c>
      <c r="AA26" s="28">
        <f t="shared" si="3"/>
        <v>0.89774245104720252</v>
      </c>
    </row>
    <row r="27" spans="1:27" x14ac:dyDescent="0.25">
      <c r="A27" s="38">
        <f t="shared" si="13"/>
        <v>79</v>
      </c>
      <c r="B27" s="39">
        <f t="shared" si="13"/>
        <v>77</v>
      </c>
      <c r="C27" s="33">
        <f t="shared" si="12"/>
        <v>50450.658587698068</v>
      </c>
      <c r="D27" s="25"/>
      <c r="E27" s="23">
        <f t="shared" si="4"/>
        <v>46569.838696336679</v>
      </c>
      <c r="F27" s="25"/>
      <c r="G27" s="23">
        <f t="shared" si="5"/>
        <v>68137.344805015193</v>
      </c>
      <c r="H27" s="25"/>
      <c r="I27" s="23">
        <f t="shared" si="6"/>
        <v>16411</v>
      </c>
      <c r="J27" s="25"/>
      <c r="K27" s="23">
        <f t="shared" si="7"/>
        <v>25670</v>
      </c>
      <c r="L27" s="25"/>
      <c r="M27" s="23">
        <f t="shared" si="8"/>
        <v>23778.293802186952</v>
      </c>
      <c r="N27" s="25"/>
      <c r="O27" s="23">
        <f t="shared" si="9"/>
        <v>0</v>
      </c>
      <c r="P27" s="25"/>
      <c r="Q27" s="23">
        <f t="shared" si="14"/>
        <v>0</v>
      </c>
      <c r="R27" s="25"/>
      <c r="S27" s="23">
        <f t="shared" si="14"/>
        <v>0</v>
      </c>
      <c r="T27" s="25"/>
      <c r="U27" s="23">
        <f>SUM(C27:T27)</f>
        <v>231017.13589123689</v>
      </c>
      <c r="V27" s="25"/>
      <c r="W27" s="23">
        <f t="shared" si="1"/>
        <v>15401.142392749127</v>
      </c>
      <c r="X27" s="25"/>
      <c r="Y27" s="23">
        <f t="shared" si="11"/>
        <v>14048.022604253576</v>
      </c>
      <c r="Z27" s="27">
        <f t="shared" si="2"/>
        <v>13815.922805936661</v>
      </c>
      <c r="AA27" s="28">
        <f t="shared" si="3"/>
        <v>0.89707129858374735</v>
      </c>
    </row>
    <row r="28" spans="1:27" x14ac:dyDescent="0.25">
      <c r="A28" s="38">
        <f t="shared" si="13"/>
        <v>80</v>
      </c>
      <c r="B28" s="39">
        <f t="shared" si="13"/>
        <v>78</v>
      </c>
      <c r="C28" s="33">
        <f t="shared" si="12"/>
        <v>51459.671759452031</v>
      </c>
      <c r="D28" s="25"/>
      <c r="E28" s="23">
        <f t="shared" si="4"/>
        <v>47501.235470263411</v>
      </c>
      <c r="F28" s="25"/>
      <c r="G28" s="23">
        <f t="shared" si="5"/>
        <v>68818.718253065352</v>
      </c>
      <c r="H28" s="25"/>
      <c r="I28" s="23">
        <f t="shared" si="6"/>
        <v>16411</v>
      </c>
      <c r="J28" s="25"/>
      <c r="K28" s="23">
        <f t="shared" si="7"/>
        <v>25670</v>
      </c>
      <c r="L28" s="25"/>
      <c r="M28" s="23">
        <f t="shared" si="8"/>
        <v>24253.859678230692</v>
      </c>
      <c r="N28" s="25"/>
      <c r="O28" s="23">
        <f t="shared" si="9"/>
        <v>0</v>
      </c>
      <c r="P28" s="25"/>
      <c r="Q28" s="23">
        <f t="shared" si="14"/>
        <v>0</v>
      </c>
      <c r="R28" s="25"/>
      <c r="S28" s="23">
        <f t="shared" si="14"/>
        <v>0</v>
      </c>
      <c r="T28" s="25"/>
      <c r="U28" s="23">
        <f>SUM(C28:T28)</f>
        <v>234114.48516101149</v>
      </c>
      <c r="V28" s="25"/>
      <c r="W28" s="23">
        <f t="shared" si="1"/>
        <v>15607.632344067433</v>
      </c>
      <c r="X28" s="25"/>
      <c r="Y28" s="23">
        <f t="shared" si="11"/>
        <v>14399.223169359913</v>
      </c>
      <c r="Z28" s="27">
        <f t="shared" si="2"/>
        <v>13990.70836551872</v>
      </c>
      <c r="AA28" s="28">
        <f t="shared" si="3"/>
        <v>0.89640171277078318</v>
      </c>
    </row>
    <row r="29" spans="1:27" x14ac:dyDescent="0.25">
      <c r="A29" s="38">
        <f t="shared" si="13"/>
        <v>81</v>
      </c>
      <c r="B29" s="39">
        <f t="shared" si="13"/>
        <v>79</v>
      </c>
      <c r="C29" s="33">
        <f t="shared" si="12"/>
        <v>52488.865194641076</v>
      </c>
      <c r="D29" s="25"/>
      <c r="E29" s="23">
        <f t="shared" si="4"/>
        <v>48451.260179668679</v>
      </c>
      <c r="F29" s="25"/>
      <c r="G29" s="23">
        <f t="shared" si="5"/>
        <v>69506.905435596011</v>
      </c>
      <c r="H29" s="25"/>
      <c r="I29" s="23">
        <f t="shared" si="6"/>
        <v>16411</v>
      </c>
      <c r="J29" s="25"/>
      <c r="K29" s="23">
        <f t="shared" si="7"/>
        <v>25670</v>
      </c>
      <c r="L29" s="25"/>
      <c r="M29" s="23">
        <f t="shared" si="8"/>
        <v>24738.936871795308</v>
      </c>
      <c r="N29" s="25"/>
      <c r="O29" s="23">
        <f t="shared" si="9"/>
        <v>0</v>
      </c>
      <c r="P29" s="25"/>
      <c r="Q29" s="23">
        <f t="shared" si="14"/>
        <v>0</v>
      </c>
      <c r="R29" s="25"/>
      <c r="S29" s="23">
        <f t="shared" si="14"/>
        <v>0</v>
      </c>
      <c r="T29" s="25"/>
      <c r="U29" s="23">
        <f>SUM(C29:T29)</f>
        <v>237266.96768170106</v>
      </c>
      <c r="V29" s="25"/>
      <c r="W29" s="23">
        <f t="shared" si="1"/>
        <v>15817.797845446737</v>
      </c>
      <c r="X29" s="25"/>
      <c r="Y29" s="23">
        <f t="shared" si="11"/>
        <v>14759.203748593909</v>
      </c>
      <c r="Z29" s="27">
        <f t="shared" si="2"/>
        <v>14168.535387327051</v>
      </c>
      <c r="AA29" s="28">
        <f t="shared" si="3"/>
        <v>0.89573375040986258</v>
      </c>
    </row>
    <row r="30" spans="1:27" x14ac:dyDescent="0.25">
      <c r="A30" s="38">
        <f t="shared" si="13"/>
        <v>82</v>
      </c>
      <c r="B30" s="39">
        <f t="shared" si="13"/>
        <v>80</v>
      </c>
      <c r="C30" s="33">
        <f t="shared" si="12"/>
        <v>53538.642498533896</v>
      </c>
      <c r="D30" s="25"/>
      <c r="E30" s="23">
        <f t="shared" si="4"/>
        <v>49420.285383262053</v>
      </c>
      <c r="F30" s="25"/>
      <c r="G30" s="23">
        <f t="shared" si="5"/>
        <v>70201.974489951972</v>
      </c>
      <c r="H30" s="25"/>
      <c r="I30" s="23">
        <f t="shared" si="6"/>
        <v>16411</v>
      </c>
      <c r="J30" s="25"/>
      <c r="K30" s="23">
        <f t="shared" si="7"/>
        <v>25670</v>
      </c>
      <c r="L30" s="25"/>
      <c r="M30" s="23">
        <f t="shared" si="8"/>
        <v>25233.715609231214</v>
      </c>
      <c r="N30" s="25"/>
      <c r="O30" s="23">
        <f t="shared" si="9"/>
        <v>0</v>
      </c>
      <c r="P30" s="25"/>
      <c r="Q30" s="23">
        <f t="shared" si="14"/>
        <v>0</v>
      </c>
      <c r="R30" s="25"/>
      <c r="S30" s="23">
        <f t="shared" si="14"/>
        <v>0</v>
      </c>
      <c r="T30" s="25"/>
      <c r="U30" s="23">
        <f>SUM(C30:T30)</f>
        <v>240475.61798097912</v>
      </c>
      <c r="V30" s="25"/>
      <c r="W30" s="23">
        <f t="shared" si="1"/>
        <v>16031.70786539861</v>
      </c>
      <c r="X30" s="25"/>
      <c r="Y30" s="23">
        <f t="shared" si="11"/>
        <v>15128.183842308756</v>
      </c>
      <c r="Z30" s="27">
        <f t="shared" si="2"/>
        <v>14349.460158116528</v>
      </c>
      <c r="AA30" s="28">
        <f t="shared" si="3"/>
        <v>0.89506746745847998</v>
      </c>
    </row>
    <row r="31" spans="1:27" ht="15.75" thickBot="1" x14ac:dyDescent="0.3">
      <c r="A31" s="40">
        <f t="shared" si="13"/>
        <v>83</v>
      </c>
      <c r="B31" s="41">
        <f t="shared" si="13"/>
        <v>81</v>
      </c>
      <c r="C31" s="33">
        <f t="shared" si="12"/>
        <v>54609.415348504575</v>
      </c>
      <c r="D31" s="25"/>
      <c r="E31" s="23">
        <f t="shared" si="4"/>
        <v>50408.691090927292</v>
      </c>
      <c r="F31" s="25"/>
      <c r="G31" s="23">
        <f>G30*1.01</f>
        <v>70903.994234851489</v>
      </c>
      <c r="H31" s="25"/>
      <c r="I31" s="23">
        <f t="shared" si="6"/>
        <v>16411</v>
      </c>
      <c r="J31" s="25"/>
      <c r="K31" s="23">
        <f t="shared" si="7"/>
        <v>25670</v>
      </c>
      <c r="L31" s="25"/>
      <c r="M31" s="23">
        <f t="shared" si="8"/>
        <v>25738.389921415837</v>
      </c>
      <c r="N31" s="25"/>
      <c r="O31" s="23">
        <f t="shared" si="9"/>
        <v>0</v>
      </c>
      <c r="P31" s="25"/>
      <c r="Q31" s="23">
        <f t="shared" si="14"/>
        <v>0</v>
      </c>
      <c r="R31" s="25"/>
      <c r="S31" s="23">
        <f t="shared" si="14"/>
        <v>0</v>
      </c>
      <c r="T31" s="25"/>
      <c r="U31" s="23">
        <f>SUM(C31:T31)</f>
        <v>243741.49059569917</v>
      </c>
      <c r="V31" s="25"/>
      <c r="W31" s="23">
        <f t="shared" si="1"/>
        <v>16249.432706379945</v>
      </c>
      <c r="X31" s="25"/>
      <c r="Y31" s="23">
        <f t="shared" si="11"/>
        <v>15506.388438366474</v>
      </c>
      <c r="Z31" s="27">
        <f t="shared" si="2"/>
        <v>14533.540044952222</v>
      </c>
      <c r="AA31" s="28">
        <f t="shared" si="3"/>
        <v>0.89440291901673474</v>
      </c>
    </row>
    <row r="32" spans="1:27" x14ac:dyDescent="0.25">
      <c r="A32" s="51" t="s">
        <v>16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</sheetData>
  <mergeCells count="4">
    <mergeCell ref="C1:Y1"/>
    <mergeCell ref="A2:B2"/>
    <mergeCell ref="Z2:AA2"/>
    <mergeCell ref="A32:AA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Income Summary</vt:lpstr>
      <vt:lpstr>Guaranteed Income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Wille</dc:creator>
  <cp:lastModifiedBy>Tyler Wille</cp:lastModifiedBy>
  <dcterms:created xsi:type="dcterms:W3CDTF">2025-09-05T18:51:57Z</dcterms:created>
  <dcterms:modified xsi:type="dcterms:W3CDTF">2026-01-13T21:25:06Z</dcterms:modified>
</cp:coreProperties>
</file>