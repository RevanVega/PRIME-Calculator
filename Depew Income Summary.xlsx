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OneDrive - MassMutual\Desktop\"/>
    </mc:Choice>
  </mc:AlternateContent>
  <xr:revisionPtr revIDLastSave="0" documentId="13_ncr:1_{81CB014E-563C-44B6-8E51-CC7C88016FFA}" xr6:coauthVersionLast="47" xr6:coauthVersionMax="47" xr10:uidLastSave="{00000000-0000-0000-0000-000000000000}"/>
  <bookViews>
    <workbookView xWindow="30795" yWindow="1035" windowWidth="26220" windowHeight="14820" xr2:uid="{0B914E76-5E12-4516-ABB9-02CDFDAE59A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2" l="1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8" i="2"/>
  <c r="K10" i="2"/>
  <c r="K11" i="2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9" i="2"/>
  <c r="K8" i="2"/>
  <c r="K7" i="2"/>
  <c r="M4" i="2"/>
  <c r="C9" i="2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E8" i="2"/>
  <c r="E9" i="2" s="1"/>
  <c r="U7" i="2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O7" i="2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M7" i="2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I7" i="2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G7" i="2"/>
  <c r="E4" i="2"/>
  <c r="T8" i="1"/>
  <c r="S7" i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K10" i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9" i="1"/>
  <c r="K8" i="1"/>
  <c r="K7" i="1"/>
  <c r="I7" i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G7" i="1"/>
  <c r="E8" i="1"/>
  <c r="E9" i="1" s="1"/>
  <c r="C9" i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E4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C10" i="2" l="1"/>
  <c r="C11" i="2" s="1"/>
  <c r="Q8" i="2"/>
  <c r="S8" i="2" s="1"/>
  <c r="C12" i="2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T9" i="1"/>
  <c r="T11" i="1"/>
  <c r="O11" i="1"/>
  <c r="Q11" i="1" s="1"/>
  <c r="O10" i="1"/>
  <c r="Q10" i="1" s="1"/>
  <c r="O8" i="1"/>
  <c r="Q8" i="1" s="1"/>
  <c r="U8" i="1" s="1"/>
  <c r="T10" i="1"/>
  <c r="O9" i="1"/>
  <c r="Q9" i="1" s="1"/>
  <c r="U9" i="1" s="1"/>
  <c r="Q10" i="2" l="1"/>
  <c r="S10" i="2" s="1"/>
  <c r="W10" i="2" s="1"/>
  <c r="Q9" i="2"/>
  <c r="S9" i="2" s="1"/>
  <c r="W9" i="2" s="1"/>
  <c r="C13" i="2"/>
  <c r="Q12" i="2"/>
  <c r="S12" i="2" s="1"/>
  <c r="W8" i="2"/>
  <c r="Q11" i="2"/>
  <c r="S11" i="2" s="1"/>
  <c r="O12" i="1"/>
  <c r="Q12" i="1" s="1"/>
  <c r="T12" i="1"/>
  <c r="U10" i="1"/>
  <c r="U11" i="1"/>
  <c r="W11" i="2" l="1"/>
  <c r="W12" i="2"/>
  <c r="Q13" i="2"/>
  <c r="S13" i="2" s="1"/>
  <c r="C14" i="2"/>
  <c r="W13" i="2"/>
  <c r="U12" i="1"/>
  <c r="T13" i="1"/>
  <c r="O13" i="1"/>
  <c r="Q13" i="1" s="1"/>
  <c r="C15" i="2" l="1"/>
  <c r="Q14" i="2"/>
  <c r="S14" i="2" s="1"/>
  <c r="U13" i="1"/>
  <c r="O14" i="1"/>
  <c r="Q14" i="1" s="1"/>
  <c r="T14" i="1"/>
  <c r="W14" i="2" l="1"/>
  <c r="C16" i="2"/>
  <c r="Q15" i="2"/>
  <c r="S15" i="2" s="1"/>
  <c r="U14" i="1"/>
  <c r="T15" i="1"/>
  <c r="O15" i="1"/>
  <c r="Q15" i="1" s="1"/>
  <c r="W15" i="2" l="1"/>
  <c r="C17" i="2"/>
  <c r="Q16" i="2"/>
  <c r="S16" i="2" s="1"/>
  <c r="U15" i="1"/>
  <c r="T16" i="1"/>
  <c r="O16" i="1"/>
  <c r="Q16" i="1" s="1"/>
  <c r="W16" i="2" l="1"/>
  <c r="C18" i="2"/>
  <c r="Q17" i="2"/>
  <c r="S17" i="2" s="1"/>
  <c r="T17" i="1"/>
  <c r="O17" i="1"/>
  <c r="Q17" i="1" s="1"/>
  <c r="U16" i="1"/>
  <c r="W17" i="2" l="1"/>
  <c r="Q18" i="2"/>
  <c r="S18" i="2" s="1"/>
  <c r="C19" i="2"/>
  <c r="U17" i="1"/>
  <c r="T18" i="1"/>
  <c r="O18" i="1"/>
  <c r="Q18" i="1" s="1"/>
  <c r="W18" i="2" l="1"/>
  <c r="C20" i="2"/>
  <c r="Q19" i="2"/>
  <c r="S19" i="2" s="1"/>
  <c r="U18" i="1"/>
  <c r="O19" i="1"/>
  <c r="Q19" i="1" s="1"/>
  <c r="T19" i="1"/>
  <c r="W19" i="2" l="1"/>
  <c r="C21" i="2"/>
  <c r="Q20" i="2"/>
  <c r="S20" i="2" s="1"/>
  <c r="U19" i="1"/>
  <c r="T20" i="1"/>
  <c r="O20" i="1"/>
  <c r="Q20" i="1" s="1"/>
  <c r="W20" i="2" l="1"/>
  <c r="Q21" i="2"/>
  <c r="S21" i="2" s="1"/>
  <c r="C22" i="2"/>
  <c r="U20" i="1"/>
  <c r="T21" i="1"/>
  <c r="O21" i="1"/>
  <c r="Q21" i="1" s="1"/>
  <c r="C23" i="2" l="1"/>
  <c r="Q22" i="2"/>
  <c r="S22" i="2" s="1"/>
  <c r="W21" i="2"/>
  <c r="T22" i="1"/>
  <c r="O22" i="1"/>
  <c r="Q22" i="1" s="1"/>
  <c r="U21" i="1"/>
  <c r="W22" i="2" l="1"/>
  <c r="Q23" i="2"/>
  <c r="S23" i="2" s="1"/>
  <c r="C24" i="2"/>
  <c r="W23" i="2"/>
  <c r="U22" i="1"/>
  <c r="T23" i="1"/>
  <c r="O23" i="1"/>
  <c r="Q23" i="1" s="1"/>
  <c r="C25" i="2" l="1"/>
  <c r="Q24" i="2"/>
  <c r="S24" i="2" s="1"/>
  <c r="U23" i="1"/>
  <c r="O24" i="1"/>
  <c r="Q24" i="1" s="1"/>
  <c r="T24" i="1"/>
  <c r="W24" i="2" l="1"/>
  <c r="C26" i="2"/>
  <c r="Q25" i="2"/>
  <c r="S25" i="2" s="1"/>
  <c r="U24" i="1"/>
  <c r="T25" i="1"/>
  <c r="O25" i="1"/>
  <c r="Q25" i="1" s="1"/>
  <c r="Q26" i="2" l="1"/>
  <c r="S26" i="2" s="1"/>
  <c r="C27" i="2"/>
  <c r="W25" i="2"/>
  <c r="U25" i="1"/>
  <c r="T26" i="1"/>
  <c r="O26" i="1"/>
  <c r="Q26" i="1" s="1"/>
  <c r="C28" i="2" l="1"/>
  <c r="Q27" i="2"/>
  <c r="S27" i="2" s="1"/>
  <c r="W27" i="2"/>
  <c r="W26" i="2"/>
  <c r="T27" i="1"/>
  <c r="O27" i="1"/>
  <c r="Q27" i="1" s="1"/>
  <c r="U26" i="1"/>
  <c r="Q28" i="2" l="1"/>
  <c r="S28" i="2" s="1"/>
  <c r="C29" i="2"/>
  <c r="W28" i="2"/>
  <c r="U27" i="1"/>
  <c r="T28" i="1"/>
  <c r="O28" i="1"/>
  <c r="Q28" i="1" s="1"/>
  <c r="C30" i="2" l="1"/>
  <c r="Q29" i="2"/>
  <c r="S29" i="2" s="1"/>
  <c r="U28" i="1"/>
  <c r="O29" i="1"/>
  <c r="Q29" i="1" s="1"/>
  <c r="T29" i="1"/>
  <c r="W29" i="2" l="1"/>
  <c r="C31" i="2"/>
  <c r="Q30" i="2"/>
  <c r="S30" i="2" s="1"/>
  <c r="U29" i="1"/>
  <c r="T30" i="1"/>
  <c r="O30" i="1"/>
  <c r="Q30" i="1" s="1"/>
  <c r="W30" i="2" l="1"/>
  <c r="Q31" i="2"/>
  <c r="S31" i="2" s="1"/>
  <c r="U30" i="1"/>
  <c r="T31" i="1"/>
  <c r="O31" i="1"/>
  <c r="Q31" i="1" s="1"/>
  <c r="W31" i="2" l="1"/>
  <c r="U31" i="1"/>
</calcChain>
</file>

<file path=xl/sharedStrings.xml><?xml version="1.0" encoding="utf-8"?>
<sst xmlns="http://schemas.openxmlformats.org/spreadsheetml/2006/main" count="29" uniqueCount="14">
  <si>
    <t xml:space="preserve">Ages </t>
  </si>
  <si>
    <t>Annual Total</t>
  </si>
  <si>
    <t>Monthly Total</t>
  </si>
  <si>
    <t>Target Goal with Inflation</t>
  </si>
  <si>
    <t>Guaranteed Income</t>
  </si>
  <si>
    <t>20% Taxes</t>
  </si>
  <si>
    <t>Marc Social Security</t>
  </si>
  <si>
    <t>Cash</t>
  </si>
  <si>
    <t>401k - Fidelity</t>
  </si>
  <si>
    <t>15% + 15% Match</t>
  </si>
  <si>
    <t>Stock Employer Plan</t>
  </si>
  <si>
    <t>Brokerage Account</t>
  </si>
  <si>
    <t>Carrie Social Security</t>
  </si>
  <si>
    <t>Depew Current Income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</si>
</sst>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9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4" fontId="2" fillId="5" borderId="5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9" fontId="2" fillId="0" borderId="6" xfId="2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 wrapText="1"/>
    </xf>
    <xf numFmtId="9" fontId="2" fillId="0" borderId="7" xfId="2" applyFont="1" applyBorder="1" applyAlignment="1">
      <alignment horizontal="center"/>
    </xf>
    <xf numFmtId="164" fontId="2" fillId="6" borderId="0" xfId="0" applyNumberFormat="1" applyFont="1" applyFill="1" applyAlignment="1">
      <alignment horizontal="center"/>
    </xf>
    <xf numFmtId="164" fontId="2" fillId="6" borderId="8" xfId="0" applyNumberFormat="1" applyFont="1" applyFill="1" applyBorder="1" applyAlignment="1">
      <alignment horizontal="center"/>
    </xf>
    <xf numFmtId="6" fontId="2" fillId="0" borderId="6" xfId="2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9" fontId="2" fillId="6" borderId="8" xfId="2" applyFont="1" applyFill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5" fillId="0" borderId="0" xfId="2" applyNumberFormat="1" applyFont="1" applyFill="1" applyBorder="1" applyAlignment="1">
      <alignment horizontal="center"/>
    </xf>
    <xf numFmtId="165" fontId="0" fillId="6" borderId="0" xfId="0" applyNumberFormat="1" applyFill="1" applyAlignment="1">
      <alignment horizontal="center"/>
    </xf>
    <xf numFmtId="9" fontId="0" fillId="6" borderId="8" xfId="2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wrapText="1"/>
    </xf>
    <xf numFmtId="164" fontId="2" fillId="0" borderId="8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9" fontId="2" fillId="0" borderId="6" xfId="1" applyNumberFormat="1" applyFont="1" applyBorder="1" applyAlignment="1">
      <alignment horizontal="center"/>
    </xf>
    <xf numFmtId="165" fontId="6" fillId="0" borderId="8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0" fontId="2" fillId="0" borderId="7" xfId="2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9A48-D860-4DC9-9211-47D2BD6CF75D}">
  <dimension ref="A1:U31"/>
  <sheetViews>
    <sheetView tabSelected="1" workbookViewId="0">
      <selection activeCell="Q6" sqref="Q6"/>
    </sheetView>
  </sheetViews>
  <sheetFormatPr defaultColWidth="7" defaultRowHeight="15" x14ac:dyDescent="0.25"/>
  <cols>
    <col min="1" max="2" width="4.85546875" style="1" customWidth="1"/>
    <col min="3" max="3" width="15.140625" style="3" customWidth="1"/>
    <col min="4" max="4" width="3.28515625" style="3" customWidth="1"/>
    <col min="5" max="5" width="15.85546875" style="3" bestFit="1" customWidth="1"/>
    <col min="6" max="6" width="3.5703125" style="3" customWidth="1"/>
    <col min="7" max="7" width="15.85546875" style="3" bestFit="1" customWidth="1"/>
    <col min="8" max="8" width="3.5703125" style="3" customWidth="1"/>
    <col min="9" max="9" width="15.85546875" style="3" bestFit="1" customWidth="1"/>
    <col min="10" max="10" width="3.5703125" style="3" customWidth="1"/>
    <col min="11" max="11" width="15.85546875" style="3" bestFit="1" customWidth="1"/>
    <col min="12" max="12" width="3.5703125" style="3" customWidth="1"/>
    <col min="13" max="13" width="15.85546875" style="3" bestFit="1" customWidth="1"/>
    <col min="14" max="14" width="3" style="3" hidden="1" customWidth="1"/>
    <col min="15" max="15" width="11.140625" style="3" hidden="1" customWidth="1"/>
    <col min="16" max="16" width="3" style="3" customWidth="1"/>
    <col min="17" max="17" width="11.140625" style="3" bestFit="1" customWidth="1"/>
    <col min="18" max="18" width="3" style="3" customWidth="1"/>
    <col min="19" max="19" width="11.140625" style="3" customWidth="1"/>
    <col min="20" max="20" width="9.85546875" style="3" customWidth="1"/>
    <col min="21" max="21" width="8.28515625" style="3" customWidth="1"/>
    <col min="22" max="22" width="11.140625" style="3" bestFit="1" customWidth="1"/>
    <col min="23" max="16384" width="7" style="3"/>
  </cols>
  <sheetData>
    <row r="1" spans="1:21" ht="19.5" thickBot="1" x14ac:dyDescent="0.35">
      <c r="C1" s="2" t="s">
        <v>13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s="13" customFormat="1" ht="45" x14ac:dyDescent="0.25">
      <c r="A2" s="37" t="s">
        <v>0</v>
      </c>
      <c r="B2" s="38"/>
      <c r="C2" s="32" t="s">
        <v>12</v>
      </c>
      <c r="D2" s="5"/>
      <c r="E2" s="4" t="s">
        <v>6</v>
      </c>
      <c r="F2" s="6"/>
      <c r="G2" s="4" t="s">
        <v>7</v>
      </c>
      <c r="H2" s="6"/>
      <c r="I2" s="7" t="s">
        <v>8</v>
      </c>
      <c r="J2" s="6"/>
      <c r="K2" s="7" t="s">
        <v>10</v>
      </c>
      <c r="L2" s="6"/>
      <c r="M2" s="7" t="s">
        <v>11</v>
      </c>
      <c r="N2" s="8"/>
      <c r="O2" s="9" t="s">
        <v>1</v>
      </c>
      <c r="P2" s="8"/>
      <c r="Q2" s="9" t="s">
        <v>2</v>
      </c>
      <c r="R2" s="8"/>
      <c r="S2" s="10" t="s">
        <v>3</v>
      </c>
      <c r="T2" s="11" t="s">
        <v>4</v>
      </c>
      <c r="U2" s="12"/>
    </row>
    <row r="3" spans="1:21" s="13" customFormat="1" x14ac:dyDescent="0.25">
      <c r="A3" s="39"/>
      <c r="B3" s="40"/>
      <c r="C3" s="33"/>
      <c r="D3" s="14"/>
      <c r="E3" s="15">
        <v>0.02</v>
      </c>
      <c r="F3" s="16"/>
      <c r="G3" s="15">
        <v>0.02</v>
      </c>
      <c r="H3" s="16"/>
      <c r="I3" s="15">
        <v>7.0000000000000007E-2</v>
      </c>
      <c r="J3" s="16"/>
      <c r="K3" s="15">
        <v>0.05</v>
      </c>
      <c r="L3" s="16"/>
      <c r="M3" s="15">
        <v>7.0000000000000007E-2</v>
      </c>
      <c r="N3" s="14"/>
      <c r="O3" s="17"/>
      <c r="P3" s="14"/>
      <c r="Q3" s="17"/>
      <c r="R3" s="14"/>
      <c r="S3" s="50">
        <v>2.5000000000000001E-2</v>
      </c>
      <c r="T3" s="19"/>
      <c r="U3" s="20"/>
    </row>
    <row r="4" spans="1:21" s="13" customFormat="1" x14ac:dyDescent="0.25">
      <c r="A4" s="39">
        <v>49</v>
      </c>
      <c r="B4" s="40">
        <v>50</v>
      </c>
      <c r="C4" s="34"/>
      <c r="E4" s="47">
        <f>1244*12</f>
        <v>14928</v>
      </c>
      <c r="G4" s="21">
        <v>200000</v>
      </c>
      <c r="I4" s="21">
        <v>449168</v>
      </c>
      <c r="K4" s="21">
        <v>1422000</v>
      </c>
      <c r="M4" s="21">
        <v>180000</v>
      </c>
      <c r="O4" s="22"/>
      <c r="Q4" s="22"/>
      <c r="S4" s="18"/>
      <c r="T4" s="19"/>
      <c r="U4" s="20"/>
    </row>
    <row r="5" spans="1:21" s="13" customFormat="1" x14ac:dyDescent="0.25">
      <c r="A5" s="39"/>
      <c r="B5" s="40"/>
      <c r="C5" s="35"/>
      <c r="E5" s="24"/>
      <c r="G5" s="24"/>
      <c r="I5" s="49" t="s">
        <v>9</v>
      </c>
      <c r="K5" s="24"/>
      <c r="M5" s="24"/>
      <c r="O5" s="23"/>
      <c r="Q5" s="23" t="s">
        <v>5</v>
      </c>
      <c r="S5" s="24">
        <v>12000</v>
      </c>
      <c r="T5" s="19"/>
      <c r="U5" s="25"/>
    </row>
    <row r="6" spans="1:21" s="13" customFormat="1" ht="16.5" customHeight="1" x14ac:dyDescent="0.25">
      <c r="A6" s="39"/>
      <c r="B6" s="40"/>
      <c r="C6" s="35"/>
      <c r="E6" s="24"/>
      <c r="G6" s="24"/>
      <c r="I6" s="24"/>
      <c r="K6" s="24"/>
      <c r="M6" s="24"/>
      <c r="O6" s="23"/>
      <c r="Q6" s="23"/>
      <c r="S6" s="23"/>
      <c r="T6" s="19"/>
      <c r="U6" s="25"/>
    </row>
    <row r="7" spans="1:21" s="13" customFormat="1" x14ac:dyDescent="0.25">
      <c r="A7" s="41"/>
      <c r="B7" s="42"/>
      <c r="C7" s="35"/>
      <c r="E7" s="24"/>
      <c r="G7" s="24">
        <f>FV(G3,12,0,G4,0)*-1</f>
        <v>253648.35891250905</v>
      </c>
      <c r="I7" s="24">
        <f>FV(I3,12,44500,I4,0)*-1</f>
        <v>1807648.4731840214</v>
      </c>
      <c r="K7" s="24">
        <f>FV(K3,12,0,K4,0)*-1</f>
        <v>2553707.6956034675</v>
      </c>
      <c r="M7" s="24">
        <f>FV(M3,12,0,M4,0)*-1</f>
        <v>405394.48601294821</v>
      </c>
      <c r="O7" s="23"/>
      <c r="Q7" s="23"/>
      <c r="S7" s="24">
        <f>FV(S3,12,0,S5,0)*-1</f>
        <v>16138.66589095557</v>
      </c>
      <c r="T7" s="19"/>
      <c r="U7" s="20"/>
    </row>
    <row r="8" spans="1:21" x14ac:dyDescent="0.25">
      <c r="A8" s="43">
        <v>61</v>
      </c>
      <c r="B8" s="44">
        <v>62</v>
      </c>
      <c r="C8" s="48">
        <v>150000</v>
      </c>
      <c r="D8" s="27"/>
      <c r="E8" s="26">
        <f>1950*12</f>
        <v>23400</v>
      </c>
      <c r="F8" s="28"/>
      <c r="G8" s="26"/>
      <c r="H8" s="28"/>
      <c r="I8" s="26">
        <f>I7*4%</f>
        <v>72305.938927360854</v>
      </c>
      <c r="J8" s="28"/>
      <c r="K8" s="26">
        <f>K7*4%</f>
        <v>102148.3078241387</v>
      </c>
      <c r="L8" s="28"/>
      <c r="M8" s="26">
        <f>M7*4%</f>
        <v>16215.779440517928</v>
      </c>
      <c r="N8" s="29"/>
      <c r="O8" s="26">
        <f t="shared" ref="O8:O31" si="0">SUM(C8:N8)</f>
        <v>364070.02619201754</v>
      </c>
      <c r="P8" s="29"/>
      <c r="Q8" s="26">
        <f>O8*0.85/12</f>
        <v>25788.293521934578</v>
      </c>
      <c r="R8" s="29"/>
      <c r="S8" s="26">
        <f>S7*1.02</f>
        <v>16461.439208774682</v>
      </c>
      <c r="T8" s="30">
        <f>(C8+E8+G8)/12*0.8</f>
        <v>11560</v>
      </c>
      <c r="U8" s="31">
        <f>T8/Q8</f>
        <v>0.44826541120945002</v>
      </c>
    </row>
    <row r="9" spans="1:21" x14ac:dyDescent="0.25">
      <c r="A9" s="43">
        <f t="shared" ref="A9:B31" si="1">A8+1</f>
        <v>62</v>
      </c>
      <c r="B9" s="44">
        <f t="shared" si="1"/>
        <v>63</v>
      </c>
      <c r="C9" s="36">
        <f>4011*12</f>
        <v>48132</v>
      </c>
      <c r="D9" s="27"/>
      <c r="E9" s="26">
        <f>E8*1.02</f>
        <v>23868</v>
      </c>
      <c r="F9" s="28"/>
      <c r="G9" s="26"/>
      <c r="H9" s="28"/>
      <c r="I9" s="26">
        <f>I8*1.02</f>
        <v>73752.057705908068</v>
      </c>
      <c r="J9" s="28"/>
      <c r="K9" s="26">
        <f>K8*1.02</f>
        <v>104191.27398062147</v>
      </c>
      <c r="L9" s="28"/>
      <c r="M9" s="26">
        <f>M8*1.02</f>
        <v>16540.095029328288</v>
      </c>
      <c r="N9" s="28"/>
      <c r="O9" s="26">
        <f t="shared" si="0"/>
        <v>266483.42671585787</v>
      </c>
      <c r="P9" s="28"/>
      <c r="Q9" s="26">
        <f t="shared" ref="Q9:Q31" si="2">O9*0.8/12</f>
        <v>17765.561781057193</v>
      </c>
      <c r="R9" s="28"/>
      <c r="S9" s="26">
        <f>S8*(1+$S$3)</f>
        <v>16872.975188994049</v>
      </c>
      <c r="T9" s="30">
        <f t="shared" ref="T9:T31" si="3">(C9+E9+G9)/12*0.8</f>
        <v>4800</v>
      </c>
      <c r="U9" s="31">
        <f t="shared" ref="U9:U31" si="4">T9/Q9</f>
        <v>0.27018565802507155</v>
      </c>
    </row>
    <row r="10" spans="1:21" x14ac:dyDescent="0.25">
      <c r="A10" s="43">
        <f t="shared" si="1"/>
        <v>63</v>
      </c>
      <c r="B10" s="44">
        <f t="shared" si="1"/>
        <v>64</v>
      </c>
      <c r="C10" s="36">
        <f>C9*1.02</f>
        <v>49094.64</v>
      </c>
      <c r="D10" s="27"/>
      <c r="E10" s="26">
        <f t="shared" ref="E10:E31" si="5">E9*1.02</f>
        <v>24345.360000000001</v>
      </c>
      <c r="F10" s="28"/>
      <c r="G10" s="26"/>
      <c r="H10" s="28"/>
      <c r="I10" s="26">
        <f t="shared" ref="I10:I31" si="6">I9*1.02</f>
        <v>75227.098860026235</v>
      </c>
      <c r="J10" s="28"/>
      <c r="K10" s="26">
        <f t="shared" ref="K10:K31" si="7">K9*1.02</f>
        <v>106275.09946023391</v>
      </c>
      <c r="L10" s="28"/>
      <c r="M10" s="26">
        <f t="shared" ref="M10:M31" si="8">M9*1.02</f>
        <v>16870.896929914852</v>
      </c>
      <c r="N10" s="28"/>
      <c r="O10" s="26">
        <f t="shared" si="0"/>
        <v>271813.09525017499</v>
      </c>
      <c r="P10" s="28"/>
      <c r="Q10" s="26">
        <f t="shared" si="2"/>
        <v>18120.873016678332</v>
      </c>
      <c r="R10" s="28"/>
      <c r="S10" s="26">
        <f t="shared" ref="S10:S31" si="9">S9*(1+$S$3)</f>
        <v>17294.7995687189</v>
      </c>
      <c r="T10" s="30">
        <f t="shared" si="3"/>
        <v>4896</v>
      </c>
      <c r="U10" s="31">
        <f t="shared" si="4"/>
        <v>0.27018565802507166</v>
      </c>
    </row>
    <row r="11" spans="1:21" x14ac:dyDescent="0.25">
      <c r="A11" s="43">
        <f t="shared" si="1"/>
        <v>64</v>
      </c>
      <c r="B11" s="44">
        <f t="shared" si="1"/>
        <v>65</v>
      </c>
      <c r="C11" s="36">
        <f t="shared" ref="C11:C31" si="10">C10*1.02</f>
        <v>50076.532800000001</v>
      </c>
      <c r="D11" s="27"/>
      <c r="E11" s="26">
        <f t="shared" si="5"/>
        <v>24832.267200000002</v>
      </c>
      <c r="F11" s="28"/>
      <c r="G11" s="26"/>
      <c r="H11" s="28"/>
      <c r="I11" s="26">
        <f t="shared" si="6"/>
        <v>76731.640837226762</v>
      </c>
      <c r="J11" s="28"/>
      <c r="K11" s="26">
        <f t="shared" si="7"/>
        <v>108400.60144943859</v>
      </c>
      <c r="L11" s="28"/>
      <c r="M11" s="26">
        <f t="shared" si="8"/>
        <v>17208.314868513149</v>
      </c>
      <c r="N11" s="28"/>
      <c r="O11" s="26">
        <f t="shared" si="0"/>
        <v>277249.3571551785</v>
      </c>
      <c r="P11" s="28"/>
      <c r="Q11" s="26">
        <f t="shared" si="2"/>
        <v>18483.290477011902</v>
      </c>
      <c r="R11" s="28"/>
      <c r="S11" s="26">
        <f t="shared" si="9"/>
        <v>17727.169557936872</v>
      </c>
      <c r="T11" s="30">
        <f t="shared" si="3"/>
        <v>4993.920000000001</v>
      </c>
      <c r="U11" s="31">
        <f t="shared" si="4"/>
        <v>0.27018565802507166</v>
      </c>
    </row>
    <row r="12" spans="1:21" x14ac:dyDescent="0.25">
      <c r="A12" s="43">
        <f t="shared" si="1"/>
        <v>65</v>
      </c>
      <c r="B12" s="44">
        <f t="shared" si="1"/>
        <v>66</v>
      </c>
      <c r="C12" s="36">
        <f t="shared" si="10"/>
        <v>51078.063456000003</v>
      </c>
      <c r="D12" s="27"/>
      <c r="E12" s="26">
        <f t="shared" si="5"/>
        <v>25328.912544000003</v>
      </c>
      <c r="F12" s="28"/>
      <c r="G12" s="26"/>
      <c r="H12" s="28"/>
      <c r="I12" s="26">
        <f t="shared" si="6"/>
        <v>78266.273653971293</v>
      </c>
      <c r="J12" s="28"/>
      <c r="K12" s="26">
        <f t="shared" si="7"/>
        <v>110568.61347842736</v>
      </c>
      <c r="L12" s="28"/>
      <c r="M12" s="26">
        <f t="shared" si="8"/>
        <v>17552.481165883411</v>
      </c>
      <c r="N12" s="28"/>
      <c r="O12" s="26">
        <f t="shared" si="0"/>
        <v>282794.34429828206</v>
      </c>
      <c r="P12" s="28"/>
      <c r="Q12" s="26">
        <f t="shared" si="2"/>
        <v>18852.95628655214</v>
      </c>
      <c r="R12" s="28"/>
      <c r="S12" s="26">
        <f t="shared" si="9"/>
        <v>18170.348796885293</v>
      </c>
      <c r="T12" s="30">
        <f t="shared" si="3"/>
        <v>5093.7984000000006</v>
      </c>
      <c r="U12" s="31">
        <f t="shared" si="4"/>
        <v>0.27018565802507161</v>
      </c>
    </row>
    <row r="13" spans="1:21" ht="15.75" customHeight="1" x14ac:dyDescent="0.25">
      <c r="A13" s="43">
        <f t="shared" si="1"/>
        <v>66</v>
      </c>
      <c r="B13" s="44">
        <f t="shared" si="1"/>
        <v>67</v>
      </c>
      <c r="C13" s="36">
        <f t="shared" si="10"/>
        <v>52099.624725120004</v>
      </c>
      <c r="D13" s="27"/>
      <c r="E13" s="26">
        <f t="shared" si="5"/>
        <v>25835.490794880003</v>
      </c>
      <c r="F13" s="28"/>
      <c r="G13" s="26"/>
      <c r="H13" s="28"/>
      <c r="I13" s="26">
        <f t="shared" si="6"/>
        <v>79831.599127050722</v>
      </c>
      <c r="J13" s="28"/>
      <c r="K13" s="26">
        <f t="shared" si="7"/>
        <v>112779.9857479959</v>
      </c>
      <c r="L13" s="28"/>
      <c r="M13" s="26">
        <f t="shared" si="8"/>
        <v>17903.530789201079</v>
      </c>
      <c r="N13" s="28"/>
      <c r="O13" s="26">
        <f t="shared" si="0"/>
        <v>288450.23118424771</v>
      </c>
      <c r="P13" s="28"/>
      <c r="Q13" s="26">
        <f t="shared" si="2"/>
        <v>19230.015412283181</v>
      </c>
      <c r="R13" s="28"/>
      <c r="S13" s="26">
        <f t="shared" si="9"/>
        <v>18624.607516807424</v>
      </c>
      <c r="T13" s="30">
        <f t="shared" si="3"/>
        <v>5195.6743680000009</v>
      </c>
      <c r="U13" s="31">
        <f t="shared" si="4"/>
        <v>0.27018565802507166</v>
      </c>
    </row>
    <row r="14" spans="1:21" x14ac:dyDescent="0.25">
      <c r="A14" s="43">
        <f t="shared" si="1"/>
        <v>67</v>
      </c>
      <c r="B14" s="44">
        <f t="shared" si="1"/>
        <v>68</v>
      </c>
      <c r="C14" s="36">
        <f t="shared" si="10"/>
        <v>53141.617219622407</v>
      </c>
      <c r="D14" s="27"/>
      <c r="E14" s="26">
        <f t="shared" si="5"/>
        <v>26352.200610777603</v>
      </c>
      <c r="F14" s="28"/>
      <c r="G14" s="26"/>
      <c r="H14" s="28"/>
      <c r="I14" s="26">
        <f t="shared" si="6"/>
        <v>81428.231109591739</v>
      </c>
      <c r="J14" s="28"/>
      <c r="K14" s="26">
        <f t="shared" si="7"/>
        <v>115035.58546295582</v>
      </c>
      <c r="L14" s="28"/>
      <c r="M14" s="26">
        <f t="shared" si="8"/>
        <v>18261.6014049851</v>
      </c>
      <c r="N14" s="28"/>
      <c r="O14" s="26">
        <f t="shared" si="0"/>
        <v>294219.23580793268</v>
      </c>
      <c r="P14" s="28"/>
      <c r="Q14" s="26">
        <f t="shared" si="2"/>
        <v>19614.615720528847</v>
      </c>
      <c r="R14" s="28"/>
      <c r="S14" s="26">
        <f t="shared" si="9"/>
        <v>19090.222704727606</v>
      </c>
      <c r="T14" s="30">
        <f t="shared" si="3"/>
        <v>5299.5878553600014</v>
      </c>
      <c r="U14" s="31">
        <f t="shared" si="4"/>
        <v>0.27018565802507166</v>
      </c>
    </row>
    <row r="15" spans="1:21" x14ac:dyDescent="0.25">
      <c r="A15" s="43">
        <f t="shared" si="1"/>
        <v>68</v>
      </c>
      <c r="B15" s="44">
        <f t="shared" si="1"/>
        <v>69</v>
      </c>
      <c r="C15" s="36">
        <f t="shared" si="10"/>
        <v>54204.449564014853</v>
      </c>
      <c r="D15" s="27"/>
      <c r="E15" s="26">
        <f t="shared" si="5"/>
        <v>26879.244622993156</v>
      </c>
      <c r="F15" s="28"/>
      <c r="G15" s="26"/>
      <c r="H15" s="28"/>
      <c r="I15" s="26">
        <f t="shared" si="6"/>
        <v>83056.795731783583</v>
      </c>
      <c r="J15" s="28"/>
      <c r="K15" s="26">
        <f t="shared" si="7"/>
        <v>117336.29717221494</v>
      </c>
      <c r="L15" s="28"/>
      <c r="M15" s="26">
        <f t="shared" si="8"/>
        <v>18626.833433084801</v>
      </c>
      <c r="N15" s="28"/>
      <c r="O15" s="26">
        <f t="shared" si="0"/>
        <v>300103.6205240913</v>
      </c>
      <c r="P15" s="28"/>
      <c r="Q15" s="26">
        <f t="shared" si="2"/>
        <v>20006.908034939421</v>
      </c>
      <c r="R15" s="28"/>
      <c r="S15" s="26">
        <f t="shared" si="9"/>
        <v>19567.478272345794</v>
      </c>
      <c r="T15" s="30">
        <f t="shared" si="3"/>
        <v>5405.5796124672006</v>
      </c>
      <c r="U15" s="31">
        <f t="shared" si="4"/>
        <v>0.27018565802507166</v>
      </c>
    </row>
    <row r="16" spans="1:21" x14ac:dyDescent="0.25">
      <c r="A16" s="43">
        <f t="shared" si="1"/>
        <v>69</v>
      </c>
      <c r="B16" s="44">
        <f t="shared" si="1"/>
        <v>70</v>
      </c>
      <c r="C16" s="36">
        <f t="shared" si="10"/>
        <v>55288.538555295148</v>
      </c>
      <c r="D16" s="27"/>
      <c r="E16" s="26">
        <f t="shared" si="5"/>
        <v>27416.829515453021</v>
      </c>
      <c r="F16" s="28"/>
      <c r="G16" s="26"/>
      <c r="H16" s="28"/>
      <c r="I16" s="26">
        <f t="shared" si="6"/>
        <v>84717.931646419253</v>
      </c>
      <c r="J16" s="28"/>
      <c r="K16" s="26">
        <f t="shared" si="7"/>
        <v>119683.02311565923</v>
      </c>
      <c r="L16" s="28"/>
      <c r="M16" s="26">
        <f t="shared" si="8"/>
        <v>18999.370101746499</v>
      </c>
      <c r="N16" s="28"/>
      <c r="O16" s="26">
        <f t="shared" si="0"/>
        <v>306105.69293457316</v>
      </c>
      <c r="P16" s="28"/>
      <c r="Q16" s="26">
        <f t="shared" si="2"/>
        <v>20407.04619563821</v>
      </c>
      <c r="R16" s="28"/>
      <c r="S16" s="26">
        <f t="shared" si="9"/>
        <v>20056.665229154438</v>
      </c>
      <c r="T16" s="30">
        <f t="shared" si="3"/>
        <v>5513.6912047165451</v>
      </c>
      <c r="U16" s="31">
        <f t="shared" si="4"/>
        <v>0.27018565802507166</v>
      </c>
    </row>
    <row r="17" spans="1:21" x14ac:dyDescent="0.25">
      <c r="A17" s="43">
        <f t="shared" si="1"/>
        <v>70</v>
      </c>
      <c r="B17" s="44">
        <f t="shared" si="1"/>
        <v>71</v>
      </c>
      <c r="C17" s="36">
        <f t="shared" si="10"/>
        <v>56394.309326401053</v>
      </c>
      <c r="D17" s="27"/>
      <c r="E17" s="26">
        <f t="shared" si="5"/>
        <v>27965.16610576208</v>
      </c>
      <c r="F17" s="28"/>
      <c r="G17" s="26"/>
      <c r="H17" s="28"/>
      <c r="I17" s="26">
        <f t="shared" si="6"/>
        <v>86412.290279347639</v>
      </c>
      <c r="J17" s="28"/>
      <c r="K17" s="26">
        <f t="shared" si="7"/>
        <v>122076.68357797242</v>
      </c>
      <c r="L17" s="28"/>
      <c r="M17" s="26">
        <f t="shared" si="8"/>
        <v>19379.35750378143</v>
      </c>
      <c r="N17" s="28"/>
      <c r="O17" s="26">
        <f t="shared" si="0"/>
        <v>312227.80679326464</v>
      </c>
      <c r="P17" s="28"/>
      <c r="Q17" s="26">
        <f t="shared" si="2"/>
        <v>20815.187119550978</v>
      </c>
      <c r="R17" s="28"/>
      <c r="S17" s="26">
        <f t="shared" si="9"/>
        <v>20558.081859883296</v>
      </c>
      <c r="T17" s="30">
        <f t="shared" si="3"/>
        <v>5623.965028810876</v>
      </c>
      <c r="U17" s="31">
        <f t="shared" si="4"/>
        <v>0.27018565802507161</v>
      </c>
    </row>
    <row r="18" spans="1:21" x14ac:dyDescent="0.25">
      <c r="A18" s="43">
        <f t="shared" si="1"/>
        <v>71</v>
      </c>
      <c r="B18" s="44">
        <f t="shared" si="1"/>
        <v>72</v>
      </c>
      <c r="C18" s="36">
        <f t="shared" si="10"/>
        <v>57522.195512929073</v>
      </c>
      <c r="D18" s="27"/>
      <c r="E18" s="26">
        <f t="shared" si="5"/>
        <v>28524.469427877324</v>
      </c>
      <c r="F18" s="28"/>
      <c r="G18" s="26"/>
      <c r="H18" s="28"/>
      <c r="I18" s="26">
        <f t="shared" si="6"/>
        <v>88140.536084934589</v>
      </c>
      <c r="J18" s="28"/>
      <c r="K18" s="26">
        <f t="shared" si="7"/>
        <v>124518.21724953187</v>
      </c>
      <c r="L18" s="28"/>
      <c r="M18" s="26">
        <f t="shared" si="8"/>
        <v>19766.944653857059</v>
      </c>
      <c r="N18" s="28"/>
      <c r="O18" s="26">
        <f t="shared" si="0"/>
        <v>318472.36292912991</v>
      </c>
      <c r="P18" s="28"/>
      <c r="Q18" s="26">
        <f t="shared" si="2"/>
        <v>21231.490861941995</v>
      </c>
      <c r="R18" s="28"/>
      <c r="S18" s="26">
        <f t="shared" si="9"/>
        <v>21072.033906380377</v>
      </c>
      <c r="T18" s="30">
        <f t="shared" si="3"/>
        <v>5736.4443293870936</v>
      </c>
      <c r="U18" s="31">
        <f t="shared" si="4"/>
        <v>0.27018565802507166</v>
      </c>
    </row>
    <row r="19" spans="1:21" x14ac:dyDescent="0.25">
      <c r="A19" s="43">
        <f t="shared" si="1"/>
        <v>72</v>
      </c>
      <c r="B19" s="44">
        <f t="shared" si="1"/>
        <v>73</v>
      </c>
      <c r="C19" s="36">
        <f t="shared" si="10"/>
        <v>58672.639423187655</v>
      </c>
      <c r="D19" s="27"/>
      <c r="E19" s="26">
        <f t="shared" si="5"/>
        <v>29094.958816434872</v>
      </c>
      <c r="F19" s="28"/>
      <c r="G19" s="26"/>
      <c r="H19" s="28"/>
      <c r="I19" s="26">
        <f t="shared" si="6"/>
        <v>89903.346806633286</v>
      </c>
      <c r="J19" s="28"/>
      <c r="K19" s="26">
        <f t="shared" si="7"/>
        <v>127008.5815945225</v>
      </c>
      <c r="L19" s="28"/>
      <c r="M19" s="26">
        <f t="shared" si="8"/>
        <v>20162.283546934199</v>
      </c>
      <c r="N19" s="28"/>
      <c r="O19" s="26">
        <f t="shared" si="0"/>
        <v>324841.81018771254</v>
      </c>
      <c r="P19" s="28"/>
      <c r="Q19" s="26">
        <f t="shared" si="2"/>
        <v>21656.120679180836</v>
      </c>
      <c r="R19" s="28"/>
      <c r="S19" s="26">
        <f t="shared" si="9"/>
        <v>21598.834754039883</v>
      </c>
      <c r="T19" s="30">
        <f t="shared" si="3"/>
        <v>5851.1732159748353</v>
      </c>
      <c r="U19" s="31">
        <f t="shared" si="4"/>
        <v>0.27018565802507161</v>
      </c>
    </row>
    <row r="20" spans="1:21" x14ac:dyDescent="0.25">
      <c r="A20" s="43">
        <f t="shared" si="1"/>
        <v>73</v>
      </c>
      <c r="B20" s="44">
        <f t="shared" si="1"/>
        <v>74</v>
      </c>
      <c r="C20" s="36">
        <f t="shared" si="10"/>
        <v>59846.092211651412</v>
      </c>
      <c r="D20" s="28"/>
      <c r="E20" s="26">
        <f t="shared" si="5"/>
        <v>29676.857992763569</v>
      </c>
      <c r="F20" s="28"/>
      <c r="G20" s="26"/>
      <c r="H20" s="28"/>
      <c r="I20" s="26">
        <f t="shared" si="6"/>
        <v>91701.413742765959</v>
      </c>
      <c r="J20" s="28"/>
      <c r="K20" s="26">
        <f t="shared" si="7"/>
        <v>129548.75322641295</v>
      </c>
      <c r="L20" s="28"/>
      <c r="M20" s="26">
        <f t="shared" si="8"/>
        <v>20565.529217872885</v>
      </c>
      <c r="N20" s="28"/>
      <c r="O20" s="26">
        <f t="shared" si="0"/>
        <v>331338.64639146678</v>
      </c>
      <c r="P20" s="28"/>
      <c r="Q20" s="26">
        <f t="shared" si="2"/>
        <v>22089.243092764456</v>
      </c>
      <c r="R20" s="28"/>
      <c r="S20" s="26">
        <f t="shared" si="9"/>
        <v>22138.805622890879</v>
      </c>
      <c r="T20" s="30">
        <f t="shared" si="3"/>
        <v>5968.1966802943325</v>
      </c>
      <c r="U20" s="31">
        <f t="shared" si="4"/>
        <v>0.27018565802507161</v>
      </c>
    </row>
    <row r="21" spans="1:21" x14ac:dyDescent="0.25">
      <c r="A21" s="43">
        <f t="shared" si="1"/>
        <v>74</v>
      </c>
      <c r="B21" s="44">
        <f t="shared" si="1"/>
        <v>75</v>
      </c>
      <c r="C21" s="36">
        <f t="shared" si="10"/>
        <v>61043.014055884443</v>
      </c>
      <c r="D21" s="28"/>
      <c r="E21" s="26">
        <f t="shared" si="5"/>
        <v>30270.395152618839</v>
      </c>
      <c r="F21" s="28"/>
      <c r="G21" s="26"/>
      <c r="H21" s="28"/>
      <c r="I21" s="26">
        <f t="shared" si="6"/>
        <v>93535.442017621273</v>
      </c>
      <c r="J21" s="28"/>
      <c r="K21" s="26">
        <f t="shared" si="7"/>
        <v>132139.72829094122</v>
      </c>
      <c r="L21" s="28"/>
      <c r="M21" s="26">
        <f t="shared" si="8"/>
        <v>20976.839802230345</v>
      </c>
      <c r="N21" s="28"/>
      <c r="O21" s="26">
        <f t="shared" si="0"/>
        <v>337965.41931929614</v>
      </c>
      <c r="P21" s="28"/>
      <c r="Q21" s="26">
        <f t="shared" si="2"/>
        <v>22531.027954619742</v>
      </c>
      <c r="R21" s="28"/>
      <c r="S21" s="26">
        <f t="shared" si="9"/>
        <v>22692.275763463149</v>
      </c>
      <c r="T21" s="30">
        <f t="shared" si="3"/>
        <v>6087.5606139002193</v>
      </c>
      <c r="U21" s="31">
        <f t="shared" si="4"/>
        <v>0.27018565802507166</v>
      </c>
    </row>
    <row r="22" spans="1:21" x14ac:dyDescent="0.25">
      <c r="A22" s="43">
        <f t="shared" si="1"/>
        <v>75</v>
      </c>
      <c r="B22" s="44">
        <f t="shared" si="1"/>
        <v>76</v>
      </c>
      <c r="C22" s="36">
        <f t="shared" si="10"/>
        <v>62263.874337002133</v>
      </c>
      <c r="D22" s="28"/>
      <c r="E22" s="26">
        <f t="shared" si="5"/>
        <v>30875.803055671218</v>
      </c>
      <c r="F22" s="28"/>
      <c r="G22" s="26"/>
      <c r="H22" s="28"/>
      <c r="I22" s="26">
        <f t="shared" si="6"/>
        <v>95406.150857973698</v>
      </c>
      <c r="J22" s="28"/>
      <c r="K22" s="26">
        <f t="shared" si="7"/>
        <v>134782.52285676004</v>
      </c>
      <c r="L22" s="28"/>
      <c r="M22" s="26">
        <f t="shared" si="8"/>
        <v>21396.37659827495</v>
      </c>
      <c r="N22" s="28"/>
      <c r="O22" s="26">
        <f t="shared" si="0"/>
        <v>344724.7277056821</v>
      </c>
      <c r="P22" s="28"/>
      <c r="Q22" s="26">
        <f t="shared" si="2"/>
        <v>22981.648513712138</v>
      </c>
      <c r="R22" s="28"/>
      <c r="S22" s="26">
        <f t="shared" si="9"/>
        <v>23259.582657549727</v>
      </c>
      <c r="T22" s="30">
        <f t="shared" si="3"/>
        <v>6209.3118261782247</v>
      </c>
      <c r="U22" s="31">
        <f t="shared" si="4"/>
        <v>0.27018565802507166</v>
      </c>
    </row>
    <row r="23" spans="1:21" x14ac:dyDescent="0.25">
      <c r="A23" s="43">
        <f t="shared" si="1"/>
        <v>76</v>
      </c>
      <c r="B23" s="44">
        <f t="shared" si="1"/>
        <v>77</v>
      </c>
      <c r="C23" s="36">
        <f t="shared" si="10"/>
        <v>63509.151823742177</v>
      </c>
      <c r="D23" s="28"/>
      <c r="E23" s="26">
        <f t="shared" si="5"/>
        <v>31493.319116784642</v>
      </c>
      <c r="F23" s="28"/>
      <c r="G23" s="26"/>
      <c r="H23" s="28"/>
      <c r="I23" s="26">
        <f t="shared" si="6"/>
        <v>97314.273875133178</v>
      </c>
      <c r="J23" s="28"/>
      <c r="K23" s="26">
        <f t="shared" si="7"/>
        <v>137478.17331389524</v>
      </c>
      <c r="L23" s="28"/>
      <c r="M23" s="26">
        <f t="shared" si="8"/>
        <v>21824.304130240449</v>
      </c>
      <c r="N23" s="28"/>
      <c r="O23" s="26">
        <f t="shared" si="0"/>
        <v>351619.2222597957</v>
      </c>
      <c r="P23" s="28"/>
      <c r="Q23" s="26">
        <f t="shared" si="2"/>
        <v>23441.281483986382</v>
      </c>
      <c r="R23" s="28"/>
      <c r="S23" s="26">
        <f t="shared" si="9"/>
        <v>23841.072223988467</v>
      </c>
      <c r="T23" s="30">
        <f t="shared" si="3"/>
        <v>6333.4980627017885</v>
      </c>
      <c r="U23" s="31">
        <f t="shared" si="4"/>
        <v>0.27018565802507166</v>
      </c>
    </row>
    <row r="24" spans="1:21" x14ac:dyDescent="0.25">
      <c r="A24" s="43">
        <f t="shared" si="1"/>
        <v>77</v>
      </c>
      <c r="B24" s="44">
        <f t="shared" si="1"/>
        <v>78</v>
      </c>
      <c r="C24" s="36">
        <f t="shared" si="10"/>
        <v>64779.334860217023</v>
      </c>
      <c r="D24" s="28"/>
      <c r="E24" s="26">
        <f t="shared" si="5"/>
        <v>32123.185499120336</v>
      </c>
      <c r="F24" s="28"/>
      <c r="G24" s="26"/>
      <c r="H24" s="28"/>
      <c r="I24" s="26">
        <f t="shared" si="6"/>
        <v>99260.559352635843</v>
      </c>
      <c r="J24" s="28"/>
      <c r="K24" s="26">
        <f t="shared" si="7"/>
        <v>140227.73678017315</v>
      </c>
      <c r="L24" s="28"/>
      <c r="M24" s="26">
        <f t="shared" si="8"/>
        <v>22260.790212845259</v>
      </c>
      <c r="N24" s="28"/>
      <c r="O24" s="26">
        <f t="shared" si="0"/>
        <v>358651.6067049916</v>
      </c>
      <c r="P24" s="28"/>
      <c r="Q24" s="26">
        <f t="shared" si="2"/>
        <v>23910.107113666108</v>
      </c>
      <c r="R24" s="28"/>
      <c r="S24" s="26">
        <f t="shared" si="9"/>
        <v>24437.099029588178</v>
      </c>
      <c r="T24" s="30">
        <f t="shared" si="3"/>
        <v>6460.1680239558245</v>
      </c>
      <c r="U24" s="31">
        <f t="shared" si="4"/>
        <v>0.27018565802507166</v>
      </c>
    </row>
    <row r="25" spans="1:21" x14ac:dyDescent="0.25">
      <c r="A25" s="43">
        <f t="shared" si="1"/>
        <v>78</v>
      </c>
      <c r="B25" s="44">
        <f t="shared" si="1"/>
        <v>79</v>
      </c>
      <c r="C25" s="36">
        <f t="shared" si="10"/>
        <v>66074.921557421359</v>
      </c>
      <c r="D25" s="28"/>
      <c r="E25" s="26">
        <f t="shared" si="5"/>
        <v>32765.649209102743</v>
      </c>
      <c r="F25" s="28"/>
      <c r="G25" s="26"/>
      <c r="H25" s="28"/>
      <c r="I25" s="26">
        <f t="shared" si="6"/>
        <v>101245.77053968856</v>
      </c>
      <c r="J25" s="28"/>
      <c r="K25" s="26">
        <f t="shared" si="7"/>
        <v>143032.2915157766</v>
      </c>
      <c r="L25" s="28"/>
      <c r="M25" s="26">
        <f t="shared" si="8"/>
        <v>22706.006017102165</v>
      </c>
      <c r="N25" s="28"/>
      <c r="O25" s="26">
        <f t="shared" si="0"/>
        <v>365824.63883909141</v>
      </c>
      <c r="P25" s="28"/>
      <c r="Q25" s="26">
        <f t="shared" si="2"/>
        <v>24388.309255939428</v>
      </c>
      <c r="R25" s="28"/>
      <c r="S25" s="26">
        <f t="shared" si="9"/>
        <v>25048.026505327882</v>
      </c>
      <c r="T25" s="30">
        <f t="shared" si="3"/>
        <v>6589.3713844349404</v>
      </c>
      <c r="U25" s="31">
        <f t="shared" si="4"/>
        <v>0.27018565802507166</v>
      </c>
    </row>
    <row r="26" spans="1:21" x14ac:dyDescent="0.25">
      <c r="A26" s="43">
        <f t="shared" si="1"/>
        <v>79</v>
      </c>
      <c r="B26" s="44">
        <f t="shared" si="1"/>
        <v>80</v>
      </c>
      <c r="C26" s="36">
        <f t="shared" si="10"/>
        <v>67396.419988569789</v>
      </c>
      <c r="D26" s="28"/>
      <c r="E26" s="26">
        <f t="shared" si="5"/>
        <v>33420.962193284795</v>
      </c>
      <c r="F26" s="28"/>
      <c r="G26" s="26"/>
      <c r="H26" s="28"/>
      <c r="I26" s="26">
        <f t="shared" si="6"/>
        <v>103270.68595048234</v>
      </c>
      <c r="J26" s="28"/>
      <c r="K26" s="26">
        <f t="shared" si="7"/>
        <v>145892.93734609213</v>
      </c>
      <c r="L26" s="28"/>
      <c r="M26" s="26">
        <f t="shared" si="8"/>
        <v>23160.126137444207</v>
      </c>
      <c r="N26" s="28"/>
      <c r="O26" s="26">
        <f t="shared" si="0"/>
        <v>373141.13161587325</v>
      </c>
      <c r="P26" s="28"/>
      <c r="Q26" s="26">
        <f t="shared" si="2"/>
        <v>24876.075441058216</v>
      </c>
      <c r="R26" s="28"/>
      <c r="S26" s="26">
        <f t="shared" si="9"/>
        <v>25674.227167961075</v>
      </c>
      <c r="T26" s="30">
        <f t="shared" si="3"/>
        <v>6721.1588121236391</v>
      </c>
      <c r="U26" s="31">
        <f t="shared" si="4"/>
        <v>0.27018565802507166</v>
      </c>
    </row>
    <row r="27" spans="1:21" x14ac:dyDescent="0.25">
      <c r="A27" s="43">
        <f t="shared" si="1"/>
        <v>80</v>
      </c>
      <c r="B27" s="44">
        <f t="shared" si="1"/>
        <v>81</v>
      </c>
      <c r="C27" s="36">
        <f t="shared" si="10"/>
        <v>68744.348388341183</v>
      </c>
      <c r="D27" s="28"/>
      <c r="E27" s="26">
        <f t="shared" si="5"/>
        <v>34089.381437150492</v>
      </c>
      <c r="F27" s="28"/>
      <c r="G27" s="26"/>
      <c r="H27" s="28"/>
      <c r="I27" s="26">
        <f t="shared" si="6"/>
        <v>105336.09966949199</v>
      </c>
      <c r="J27" s="28"/>
      <c r="K27" s="26">
        <f t="shared" si="7"/>
        <v>148810.79609301398</v>
      </c>
      <c r="L27" s="28"/>
      <c r="M27" s="26">
        <f t="shared" si="8"/>
        <v>23623.328660193092</v>
      </c>
      <c r="N27" s="28"/>
      <c r="O27" s="26">
        <f t="shared" si="0"/>
        <v>380603.95424819068</v>
      </c>
      <c r="P27" s="28"/>
      <c r="Q27" s="26">
        <f t="shared" si="2"/>
        <v>25373.596949879382</v>
      </c>
      <c r="R27" s="28"/>
      <c r="S27" s="26">
        <f t="shared" si="9"/>
        <v>26316.082847160098</v>
      </c>
      <c r="T27" s="30">
        <f t="shared" si="3"/>
        <v>6855.5819883661115</v>
      </c>
      <c r="U27" s="31">
        <f t="shared" si="4"/>
        <v>0.27018565802507166</v>
      </c>
    </row>
    <row r="28" spans="1:21" x14ac:dyDescent="0.25">
      <c r="A28" s="43">
        <f t="shared" si="1"/>
        <v>81</v>
      </c>
      <c r="B28" s="44">
        <f t="shared" si="1"/>
        <v>82</v>
      </c>
      <c r="C28" s="36">
        <f t="shared" si="10"/>
        <v>70119.235356108009</v>
      </c>
      <c r="D28" s="28"/>
      <c r="E28" s="26">
        <f t="shared" si="5"/>
        <v>34771.169065893504</v>
      </c>
      <c r="F28" s="28"/>
      <c r="G28" s="26"/>
      <c r="H28" s="28"/>
      <c r="I28" s="26">
        <f t="shared" si="6"/>
        <v>107442.82166288183</v>
      </c>
      <c r="J28" s="28"/>
      <c r="K28" s="26">
        <f t="shared" si="7"/>
        <v>151787.01201487426</v>
      </c>
      <c r="L28" s="28"/>
      <c r="M28" s="26">
        <f t="shared" si="8"/>
        <v>24095.795233396955</v>
      </c>
      <c r="N28" s="28"/>
      <c r="O28" s="26">
        <f t="shared" si="0"/>
        <v>388216.03333315451</v>
      </c>
      <c r="P28" s="28"/>
      <c r="Q28" s="26">
        <f t="shared" si="2"/>
        <v>25881.068888876969</v>
      </c>
      <c r="R28" s="28"/>
      <c r="S28" s="26">
        <f t="shared" si="9"/>
        <v>26973.984918339098</v>
      </c>
      <c r="T28" s="30">
        <f t="shared" si="3"/>
        <v>6992.6936281334338</v>
      </c>
      <c r="U28" s="31">
        <f t="shared" si="4"/>
        <v>0.27018565802507166</v>
      </c>
    </row>
    <row r="29" spans="1:21" x14ac:dyDescent="0.25">
      <c r="A29" s="43">
        <f t="shared" si="1"/>
        <v>82</v>
      </c>
      <c r="B29" s="44">
        <f t="shared" si="1"/>
        <v>83</v>
      </c>
      <c r="C29" s="36">
        <f t="shared" si="10"/>
        <v>71521.620063230177</v>
      </c>
      <c r="D29" s="28"/>
      <c r="E29" s="26">
        <f t="shared" si="5"/>
        <v>35466.592447211377</v>
      </c>
      <c r="F29" s="28"/>
      <c r="G29" s="26"/>
      <c r="H29" s="28"/>
      <c r="I29" s="26">
        <f t="shared" si="6"/>
        <v>109591.67809613947</v>
      </c>
      <c r="J29" s="28"/>
      <c r="K29" s="26">
        <f t="shared" si="7"/>
        <v>154822.75225517174</v>
      </c>
      <c r="L29" s="28"/>
      <c r="M29" s="26">
        <f t="shared" si="8"/>
        <v>24577.711138064893</v>
      </c>
      <c r="N29" s="28"/>
      <c r="O29" s="26">
        <f t="shared" si="0"/>
        <v>395980.35399981769</v>
      </c>
      <c r="P29" s="28"/>
      <c r="Q29" s="26">
        <f t="shared" si="2"/>
        <v>26398.690266654517</v>
      </c>
      <c r="R29" s="28"/>
      <c r="S29" s="26">
        <f t="shared" si="9"/>
        <v>27648.334541297572</v>
      </c>
      <c r="T29" s="30">
        <f t="shared" si="3"/>
        <v>7132.5475006961033</v>
      </c>
      <c r="U29" s="31">
        <f t="shared" si="4"/>
        <v>0.27018565802507161</v>
      </c>
    </row>
    <row r="30" spans="1:21" x14ac:dyDescent="0.25">
      <c r="A30" s="43">
        <f t="shared" si="1"/>
        <v>83</v>
      </c>
      <c r="B30" s="44">
        <f t="shared" si="1"/>
        <v>84</v>
      </c>
      <c r="C30" s="36">
        <f t="shared" si="10"/>
        <v>72952.052464494787</v>
      </c>
      <c r="D30" s="28"/>
      <c r="E30" s="26">
        <f t="shared" si="5"/>
        <v>36175.924296155608</v>
      </c>
      <c r="F30" s="28"/>
      <c r="G30" s="26"/>
      <c r="H30" s="28"/>
      <c r="I30" s="26">
        <f t="shared" si="6"/>
        <v>111783.51165806226</v>
      </c>
      <c r="J30" s="28"/>
      <c r="K30" s="26">
        <f t="shared" si="7"/>
        <v>157919.20730027519</v>
      </c>
      <c r="L30" s="28"/>
      <c r="M30" s="26">
        <f t="shared" si="8"/>
        <v>25069.26536082619</v>
      </c>
      <c r="N30" s="28"/>
      <c r="O30" s="26">
        <f t="shared" si="0"/>
        <v>403899.96107981401</v>
      </c>
      <c r="P30" s="28"/>
      <c r="Q30" s="26">
        <f t="shared" si="2"/>
        <v>26926.664071987601</v>
      </c>
      <c r="R30" s="28"/>
      <c r="S30" s="26">
        <f t="shared" si="9"/>
        <v>28339.54290483001</v>
      </c>
      <c r="T30" s="30">
        <f t="shared" si="3"/>
        <v>7275.1984507100269</v>
      </c>
      <c r="U30" s="31">
        <f t="shared" si="4"/>
        <v>0.27018565802507172</v>
      </c>
    </row>
    <row r="31" spans="1:21" ht="15.75" thickBot="1" x14ac:dyDescent="0.3">
      <c r="A31" s="45">
        <f t="shared" si="1"/>
        <v>84</v>
      </c>
      <c r="B31" s="46">
        <f t="shared" si="1"/>
        <v>85</v>
      </c>
      <c r="C31" s="36">
        <f t="shared" si="10"/>
        <v>74411.093513784683</v>
      </c>
      <c r="D31" s="28"/>
      <c r="E31" s="26">
        <f t="shared" si="5"/>
        <v>36899.442782078724</v>
      </c>
      <c r="F31" s="28"/>
      <c r="G31" s="26"/>
      <c r="H31" s="28"/>
      <c r="I31" s="26">
        <f t="shared" si="6"/>
        <v>114019.1818912235</v>
      </c>
      <c r="J31" s="28"/>
      <c r="K31" s="26">
        <f t="shared" si="7"/>
        <v>161077.59144628068</v>
      </c>
      <c r="L31" s="28"/>
      <c r="M31" s="26">
        <f t="shared" si="8"/>
        <v>25570.650668042716</v>
      </c>
      <c r="N31" s="28"/>
      <c r="O31" s="26">
        <f t="shared" si="0"/>
        <v>411977.96030141029</v>
      </c>
      <c r="P31" s="28"/>
      <c r="Q31" s="26">
        <f t="shared" si="2"/>
        <v>27465.197353427357</v>
      </c>
      <c r="R31" s="28"/>
      <c r="S31" s="26">
        <f t="shared" si="9"/>
        <v>29048.031477450757</v>
      </c>
      <c r="T31" s="30">
        <f t="shared" si="3"/>
        <v>7420.7024197242272</v>
      </c>
      <c r="U31" s="31">
        <f t="shared" si="4"/>
        <v>0.27018565802507166</v>
      </c>
    </row>
  </sheetData>
  <mergeCells count="3">
    <mergeCell ref="C1:S1"/>
    <mergeCell ref="T2:U2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1134-7696-4D8C-A27E-EFCC4734B406}">
  <dimension ref="A1:W31"/>
  <sheetViews>
    <sheetView workbookViewId="0">
      <selection activeCell="K4" sqref="K4"/>
    </sheetView>
  </sheetViews>
  <sheetFormatPr defaultColWidth="7" defaultRowHeight="15" x14ac:dyDescent="0.25"/>
  <cols>
    <col min="1" max="2" width="4.85546875" style="1" customWidth="1"/>
    <col min="3" max="3" width="15.140625" style="3" customWidth="1"/>
    <col min="4" max="4" width="3.28515625" style="3" customWidth="1"/>
    <col min="5" max="5" width="15.85546875" style="3" bestFit="1" customWidth="1"/>
    <col min="6" max="6" width="3.5703125" style="3" customWidth="1"/>
    <col min="7" max="7" width="15.85546875" style="3" bestFit="1" customWidth="1"/>
    <col min="8" max="8" width="3.5703125" style="3" customWidth="1"/>
    <col min="9" max="9" width="15.85546875" style="3" bestFit="1" customWidth="1"/>
    <col min="10" max="10" width="3.5703125" style="3" customWidth="1"/>
    <col min="11" max="11" width="15.85546875" style="3" bestFit="1" customWidth="1"/>
    <col min="12" max="12" width="3.5703125" style="3" customWidth="1"/>
    <col min="13" max="13" width="15.85546875" style="3" bestFit="1" customWidth="1"/>
    <col min="14" max="14" width="3.5703125" style="3" customWidth="1"/>
    <col min="15" max="15" width="15.85546875" style="3" bestFit="1" customWidth="1"/>
    <col min="16" max="16" width="3" style="3" hidden="1" customWidth="1"/>
    <col min="17" max="17" width="11.140625" style="3" hidden="1" customWidth="1"/>
    <col min="18" max="18" width="3" style="3" customWidth="1"/>
    <col min="19" max="19" width="11.140625" style="3" bestFit="1" customWidth="1"/>
    <col min="20" max="20" width="3" style="3" customWidth="1"/>
    <col min="21" max="21" width="11.140625" style="3" customWidth="1"/>
    <col min="22" max="22" width="9.85546875" style="3" customWidth="1"/>
    <col min="23" max="23" width="8.28515625" style="3" customWidth="1"/>
    <col min="24" max="24" width="11.140625" style="3" bestFit="1" customWidth="1"/>
    <col min="25" max="16384" width="7" style="3"/>
  </cols>
  <sheetData>
    <row r="1" spans="1:23" ht="19.5" thickBot="1" x14ac:dyDescent="0.35">
      <c r="C1" s="2" t="s">
        <v>13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s="13" customFormat="1" ht="45" x14ac:dyDescent="0.25">
      <c r="A2" s="37" t="s">
        <v>0</v>
      </c>
      <c r="B2" s="38"/>
      <c r="C2" s="32" t="s">
        <v>12</v>
      </c>
      <c r="D2" s="5"/>
      <c r="E2" s="4" t="s">
        <v>6</v>
      </c>
      <c r="F2" s="6"/>
      <c r="G2" s="4" t="s">
        <v>7</v>
      </c>
      <c r="H2" s="6"/>
      <c r="I2" s="7" t="s">
        <v>8</v>
      </c>
      <c r="J2" s="6"/>
      <c r="K2" s="51" t="s">
        <v>4</v>
      </c>
      <c r="L2" s="6"/>
      <c r="M2" s="7" t="s">
        <v>10</v>
      </c>
      <c r="N2" s="6"/>
      <c r="O2" s="7" t="s">
        <v>11</v>
      </c>
      <c r="P2" s="8"/>
      <c r="Q2" s="9" t="s">
        <v>1</v>
      </c>
      <c r="R2" s="8"/>
      <c r="S2" s="9" t="s">
        <v>2</v>
      </c>
      <c r="T2" s="8"/>
      <c r="U2" s="10" t="s">
        <v>3</v>
      </c>
      <c r="V2" s="11" t="s">
        <v>4</v>
      </c>
      <c r="W2" s="12"/>
    </row>
    <row r="3" spans="1:23" s="13" customFormat="1" x14ac:dyDescent="0.25">
      <c r="A3" s="39"/>
      <c r="B3" s="40"/>
      <c r="C3" s="33"/>
      <c r="D3" s="14"/>
      <c r="E3" s="15">
        <v>0.02</v>
      </c>
      <c r="F3" s="16"/>
      <c r="G3" s="15">
        <v>0.02</v>
      </c>
      <c r="H3" s="16"/>
      <c r="I3" s="15">
        <v>7.0000000000000007E-2</v>
      </c>
      <c r="J3" s="16"/>
      <c r="K3" s="15"/>
      <c r="L3" s="16"/>
      <c r="M3" s="15">
        <v>0.05</v>
      </c>
      <c r="N3" s="16"/>
      <c r="O3" s="15">
        <v>7.0000000000000007E-2</v>
      </c>
      <c r="P3" s="14"/>
      <c r="Q3" s="17"/>
      <c r="R3" s="14"/>
      <c r="S3" s="17"/>
      <c r="T3" s="14"/>
      <c r="U3" s="50">
        <v>2.5000000000000001E-2</v>
      </c>
      <c r="V3" s="19"/>
      <c r="W3" s="20"/>
    </row>
    <row r="4" spans="1:23" s="13" customFormat="1" x14ac:dyDescent="0.25">
      <c r="A4" s="39">
        <v>49</v>
      </c>
      <c r="B4" s="40">
        <v>50</v>
      </c>
      <c r="C4" s="34"/>
      <c r="E4" s="47">
        <f>1244*12</f>
        <v>14928</v>
      </c>
      <c r="G4" s="21">
        <v>200000</v>
      </c>
      <c r="I4" s="21">
        <v>449168</v>
      </c>
      <c r="K4" s="21">
        <v>500000</v>
      </c>
      <c r="M4" s="21">
        <f>1422000-K4</f>
        <v>922000</v>
      </c>
      <c r="O4" s="21">
        <v>180000</v>
      </c>
      <c r="Q4" s="22"/>
      <c r="S4" s="22"/>
      <c r="U4" s="18"/>
      <c r="V4" s="19"/>
      <c r="W4" s="20"/>
    </row>
    <row r="5" spans="1:23" s="13" customFormat="1" x14ac:dyDescent="0.25">
      <c r="A5" s="39"/>
      <c r="B5" s="40"/>
      <c r="C5" s="35"/>
      <c r="E5" s="24"/>
      <c r="G5" s="24"/>
      <c r="I5" s="49" t="s">
        <v>9</v>
      </c>
      <c r="K5" s="24"/>
      <c r="M5" s="24"/>
      <c r="O5" s="24"/>
      <c r="Q5" s="23"/>
      <c r="S5" s="23" t="s">
        <v>5</v>
      </c>
      <c r="U5" s="24">
        <v>12000</v>
      </c>
      <c r="V5" s="19"/>
      <c r="W5" s="25"/>
    </row>
    <row r="6" spans="1:23" s="13" customFormat="1" ht="16.5" customHeight="1" x14ac:dyDescent="0.25">
      <c r="A6" s="39"/>
      <c r="B6" s="40"/>
      <c r="C6" s="35"/>
      <c r="E6" s="24"/>
      <c r="G6" s="24"/>
      <c r="I6" s="24"/>
      <c r="K6" s="24"/>
      <c r="M6" s="24"/>
      <c r="O6" s="24"/>
      <c r="Q6" s="23"/>
      <c r="S6" s="23"/>
      <c r="U6" s="23"/>
      <c r="V6" s="19"/>
      <c r="W6" s="25"/>
    </row>
    <row r="7" spans="1:23" s="13" customFormat="1" x14ac:dyDescent="0.25">
      <c r="A7" s="41"/>
      <c r="B7" s="42"/>
      <c r="C7" s="35"/>
      <c r="E7" s="24"/>
      <c r="G7" s="24">
        <f>FV(G3,12,0,G4,0)*-1</f>
        <v>253648.35891250905</v>
      </c>
      <c r="I7" s="24">
        <f>FV(I3,12,44500,I4,0)*-1</f>
        <v>1807648.4731840214</v>
      </c>
      <c r="K7" s="24">
        <f>FV(9%,12,0,K4,0)*-1</f>
        <v>1406332.3908914481</v>
      </c>
      <c r="M7" s="24">
        <f>FV(M3,12,0,M4,0)*-1</f>
        <v>1655779.532592403</v>
      </c>
      <c r="O7" s="24">
        <f>FV(O3,12,0,O4,0)*-1</f>
        <v>405394.48601294821</v>
      </c>
      <c r="Q7" s="23"/>
      <c r="S7" s="23"/>
      <c r="U7" s="24">
        <f>FV(U3,12,0,U5,0)*-1</f>
        <v>16138.66589095557</v>
      </c>
      <c r="V7" s="19"/>
      <c r="W7" s="20"/>
    </row>
    <row r="8" spans="1:23" x14ac:dyDescent="0.25">
      <c r="A8" s="43">
        <v>61</v>
      </c>
      <c r="B8" s="44">
        <v>62</v>
      </c>
      <c r="C8" s="48">
        <v>150000</v>
      </c>
      <c r="D8" s="27"/>
      <c r="E8" s="26">
        <f>1950*12</f>
        <v>23400</v>
      </c>
      <c r="F8" s="28"/>
      <c r="G8" s="26"/>
      <c r="H8" s="28"/>
      <c r="I8" s="26">
        <f>I7*4%</f>
        <v>72305.938927360854</v>
      </c>
      <c r="J8" s="28"/>
      <c r="K8" s="26">
        <f>K7*5.5%</f>
        <v>77348.281499029647</v>
      </c>
      <c r="L8" s="28"/>
      <c r="M8" s="26">
        <f>M7*4%</f>
        <v>66231.181303696125</v>
      </c>
      <c r="N8" s="28"/>
      <c r="O8" s="26">
        <f>O7*4%</f>
        <v>16215.779440517928</v>
      </c>
      <c r="P8" s="29"/>
      <c r="Q8" s="26">
        <f t="shared" ref="Q8:Q31" si="0">SUM(C8:P8)</f>
        <v>405501.1811706046</v>
      </c>
      <c r="R8" s="29"/>
      <c r="S8" s="26">
        <f>Q8*0.85/12</f>
        <v>28723.000332917825</v>
      </c>
      <c r="T8" s="29"/>
      <c r="U8" s="26">
        <f>U7*1.02</f>
        <v>16461.439208774682</v>
      </c>
      <c r="V8" s="30">
        <f>(C8+E8+G8+K8)/12*0.8</f>
        <v>16716.552099935314</v>
      </c>
      <c r="W8" s="31">
        <f>V8/S8</f>
        <v>0.58199184995229791</v>
      </c>
    </row>
    <row r="9" spans="1:23" x14ac:dyDescent="0.25">
      <c r="A9" s="43">
        <f t="shared" ref="A9:B24" si="1">A8+1</f>
        <v>62</v>
      </c>
      <c r="B9" s="44">
        <f t="shared" si="1"/>
        <v>63</v>
      </c>
      <c r="C9" s="36">
        <f>4011*12</f>
        <v>48132</v>
      </c>
      <c r="D9" s="27"/>
      <c r="E9" s="26">
        <f>E8*1.02</f>
        <v>23868</v>
      </c>
      <c r="F9" s="28"/>
      <c r="G9" s="26"/>
      <c r="H9" s="28"/>
      <c r="I9" s="26">
        <f>I8*1.02</f>
        <v>73752.057705908068</v>
      </c>
      <c r="J9" s="28"/>
      <c r="K9" s="26">
        <f>K8</f>
        <v>77348.281499029647</v>
      </c>
      <c r="L9" s="28"/>
      <c r="M9" s="26">
        <f>M8*1.02</f>
        <v>67555.804929770049</v>
      </c>
      <c r="N9" s="28"/>
      <c r="O9" s="26">
        <f>O8*1.02</f>
        <v>16540.095029328288</v>
      </c>
      <c r="P9" s="28"/>
      <c r="Q9" s="26">
        <f t="shared" si="0"/>
        <v>307196.23916403612</v>
      </c>
      <c r="R9" s="28"/>
      <c r="S9" s="26">
        <f t="shared" ref="S9:S31" si="2">Q9*0.8/12</f>
        <v>20479.749277602408</v>
      </c>
      <c r="T9" s="28"/>
      <c r="U9" s="26">
        <f>U8*(1+$U$3)</f>
        <v>16872.975188994049</v>
      </c>
      <c r="V9" s="30">
        <f t="shared" ref="V9:V31" si="3">(C9+E9+G9+K9)/12*0.8</f>
        <v>9956.5520999353103</v>
      </c>
      <c r="W9" s="31">
        <f t="shared" ref="W9:W31" si="4">V9/S9</f>
        <v>0.48616572229349758</v>
      </c>
    </row>
    <row r="10" spans="1:23" x14ac:dyDescent="0.25">
      <c r="A10" s="43">
        <f t="shared" si="1"/>
        <v>63</v>
      </c>
      <c r="B10" s="44">
        <f t="shared" si="1"/>
        <v>64</v>
      </c>
      <c r="C10" s="36">
        <f>C9*1.02</f>
        <v>49094.64</v>
      </c>
      <c r="D10" s="27"/>
      <c r="E10" s="26">
        <f t="shared" ref="E10:E31" si="5">E9*1.02</f>
        <v>24345.360000000001</v>
      </c>
      <c r="F10" s="28"/>
      <c r="G10" s="26"/>
      <c r="H10" s="28"/>
      <c r="I10" s="26">
        <f t="shared" ref="I10:I31" si="6">I9*1.02</f>
        <v>75227.098860026235</v>
      </c>
      <c r="J10" s="28"/>
      <c r="K10" s="26">
        <f t="shared" ref="K10:K31" si="7">K9</f>
        <v>77348.281499029647</v>
      </c>
      <c r="L10" s="28"/>
      <c r="M10" s="26">
        <f t="shared" ref="M10:M31" si="8">M9*1.02</f>
        <v>68906.921028365454</v>
      </c>
      <c r="N10" s="28"/>
      <c r="O10" s="26">
        <f t="shared" ref="O10:O31" si="9">O9*1.02</f>
        <v>16870.896929914852</v>
      </c>
      <c r="P10" s="28"/>
      <c r="Q10" s="26">
        <f t="shared" si="0"/>
        <v>311793.19831733615</v>
      </c>
      <c r="R10" s="28"/>
      <c r="S10" s="26">
        <f t="shared" si="2"/>
        <v>20786.213221155744</v>
      </c>
      <c r="T10" s="28"/>
      <c r="U10" s="26">
        <f t="shared" ref="U10:U31" si="10">U9*(1+$U$3)</f>
        <v>17294.7995687189</v>
      </c>
      <c r="V10" s="30">
        <f t="shared" si="3"/>
        <v>10052.55209993531</v>
      </c>
      <c r="W10" s="31">
        <f t="shared" si="4"/>
        <v>0.48361632746574768</v>
      </c>
    </row>
    <row r="11" spans="1:23" x14ac:dyDescent="0.25">
      <c r="A11" s="43">
        <f t="shared" si="1"/>
        <v>64</v>
      </c>
      <c r="B11" s="44">
        <f t="shared" si="1"/>
        <v>65</v>
      </c>
      <c r="C11" s="36">
        <f t="shared" ref="C11:C31" si="11">C10*1.02</f>
        <v>50076.532800000001</v>
      </c>
      <c r="D11" s="27"/>
      <c r="E11" s="26">
        <f t="shared" si="5"/>
        <v>24832.267200000002</v>
      </c>
      <c r="F11" s="28"/>
      <c r="G11" s="26"/>
      <c r="H11" s="28"/>
      <c r="I11" s="26">
        <f t="shared" si="6"/>
        <v>76731.640837226762</v>
      </c>
      <c r="J11" s="28"/>
      <c r="K11" s="26">
        <f t="shared" si="7"/>
        <v>77348.281499029647</v>
      </c>
      <c r="L11" s="28"/>
      <c r="M11" s="26">
        <f t="shared" si="8"/>
        <v>70285.059448932763</v>
      </c>
      <c r="N11" s="28"/>
      <c r="O11" s="26">
        <f t="shared" si="9"/>
        <v>17208.314868513149</v>
      </c>
      <c r="P11" s="28"/>
      <c r="Q11" s="26">
        <f t="shared" si="0"/>
        <v>316482.09665370232</v>
      </c>
      <c r="R11" s="28"/>
      <c r="S11" s="26">
        <f t="shared" si="2"/>
        <v>21098.806443580153</v>
      </c>
      <c r="T11" s="28"/>
      <c r="U11" s="26">
        <f t="shared" si="10"/>
        <v>17727.169557936872</v>
      </c>
      <c r="V11" s="30">
        <f t="shared" si="3"/>
        <v>10150.47209993531</v>
      </c>
      <c r="W11" s="31">
        <f t="shared" si="4"/>
        <v>0.48109224221182656</v>
      </c>
    </row>
    <row r="12" spans="1:23" x14ac:dyDescent="0.25">
      <c r="A12" s="43">
        <f t="shared" si="1"/>
        <v>65</v>
      </c>
      <c r="B12" s="44">
        <f t="shared" si="1"/>
        <v>66</v>
      </c>
      <c r="C12" s="36">
        <f t="shared" si="11"/>
        <v>51078.063456000003</v>
      </c>
      <c r="D12" s="27"/>
      <c r="E12" s="26">
        <f t="shared" si="5"/>
        <v>25328.912544000003</v>
      </c>
      <c r="F12" s="28"/>
      <c r="G12" s="26"/>
      <c r="H12" s="28"/>
      <c r="I12" s="26">
        <f t="shared" si="6"/>
        <v>78266.273653971293</v>
      </c>
      <c r="J12" s="28"/>
      <c r="K12" s="26">
        <f t="shared" si="7"/>
        <v>77348.281499029647</v>
      </c>
      <c r="L12" s="28"/>
      <c r="M12" s="26">
        <f t="shared" si="8"/>
        <v>71690.760637911415</v>
      </c>
      <c r="N12" s="28"/>
      <c r="O12" s="26">
        <f t="shared" si="9"/>
        <v>17552.481165883411</v>
      </c>
      <c r="P12" s="28"/>
      <c r="Q12" s="26">
        <f t="shared" si="0"/>
        <v>321264.77295679582</v>
      </c>
      <c r="R12" s="28"/>
      <c r="S12" s="26">
        <f t="shared" si="2"/>
        <v>21417.651530453055</v>
      </c>
      <c r="T12" s="28"/>
      <c r="U12" s="26">
        <f t="shared" si="10"/>
        <v>18170.348796885293</v>
      </c>
      <c r="V12" s="30">
        <f t="shared" si="3"/>
        <v>10250.35049993531</v>
      </c>
      <c r="W12" s="31">
        <f t="shared" si="4"/>
        <v>0.47859357900938265</v>
      </c>
    </row>
    <row r="13" spans="1:23" ht="15.75" customHeight="1" x14ac:dyDescent="0.25">
      <c r="A13" s="43">
        <f t="shared" si="1"/>
        <v>66</v>
      </c>
      <c r="B13" s="44">
        <f t="shared" si="1"/>
        <v>67</v>
      </c>
      <c r="C13" s="36">
        <f t="shared" si="11"/>
        <v>52099.624725120004</v>
      </c>
      <c r="D13" s="27"/>
      <c r="E13" s="26">
        <f t="shared" si="5"/>
        <v>25835.490794880003</v>
      </c>
      <c r="F13" s="28"/>
      <c r="G13" s="26"/>
      <c r="H13" s="28"/>
      <c r="I13" s="26">
        <f t="shared" si="6"/>
        <v>79831.599127050722</v>
      </c>
      <c r="J13" s="28"/>
      <c r="K13" s="26">
        <f t="shared" si="7"/>
        <v>77348.281499029647</v>
      </c>
      <c r="L13" s="28"/>
      <c r="M13" s="26">
        <f t="shared" si="8"/>
        <v>73124.575850669644</v>
      </c>
      <c r="N13" s="28"/>
      <c r="O13" s="26">
        <f t="shared" si="9"/>
        <v>17903.530789201079</v>
      </c>
      <c r="P13" s="28"/>
      <c r="Q13" s="26">
        <f t="shared" si="0"/>
        <v>326143.10278595111</v>
      </c>
      <c r="R13" s="28"/>
      <c r="S13" s="26">
        <f t="shared" si="2"/>
        <v>21742.873519063407</v>
      </c>
      <c r="T13" s="28"/>
      <c r="U13" s="26">
        <f t="shared" si="10"/>
        <v>18624.607516807424</v>
      </c>
      <c r="V13" s="30">
        <f t="shared" si="3"/>
        <v>10352.22646793531</v>
      </c>
      <c r="W13" s="31">
        <f t="shared" si="4"/>
        <v>0.47612043821433414</v>
      </c>
    </row>
    <row r="14" spans="1:23" x14ac:dyDescent="0.25">
      <c r="A14" s="43">
        <f t="shared" si="1"/>
        <v>67</v>
      </c>
      <c r="B14" s="44">
        <f t="shared" si="1"/>
        <v>68</v>
      </c>
      <c r="C14" s="36">
        <f t="shared" si="11"/>
        <v>53141.617219622407</v>
      </c>
      <c r="D14" s="27"/>
      <c r="E14" s="26">
        <f t="shared" si="5"/>
        <v>26352.200610777603</v>
      </c>
      <c r="F14" s="28"/>
      <c r="G14" s="26"/>
      <c r="H14" s="28"/>
      <c r="I14" s="26">
        <f t="shared" si="6"/>
        <v>81428.231109591739</v>
      </c>
      <c r="J14" s="28"/>
      <c r="K14" s="26">
        <f t="shared" si="7"/>
        <v>77348.281499029647</v>
      </c>
      <c r="L14" s="28"/>
      <c r="M14" s="26">
        <f t="shared" si="8"/>
        <v>74587.067367683034</v>
      </c>
      <c r="N14" s="28"/>
      <c r="O14" s="26">
        <f t="shared" si="9"/>
        <v>18261.6014049851</v>
      </c>
      <c r="P14" s="28"/>
      <c r="Q14" s="26">
        <f t="shared" si="0"/>
        <v>331118.99921168957</v>
      </c>
      <c r="R14" s="28"/>
      <c r="S14" s="26">
        <f t="shared" si="2"/>
        <v>22074.599947445971</v>
      </c>
      <c r="T14" s="28"/>
      <c r="U14" s="26">
        <f t="shared" si="10"/>
        <v>19090.222704727606</v>
      </c>
      <c r="V14" s="30">
        <f t="shared" si="3"/>
        <v>10456.139955295313</v>
      </c>
      <c r="W14" s="31">
        <f t="shared" si="4"/>
        <v>0.47367290823791747</v>
      </c>
    </row>
    <row r="15" spans="1:23" x14ac:dyDescent="0.25">
      <c r="A15" s="43">
        <f t="shared" si="1"/>
        <v>68</v>
      </c>
      <c r="B15" s="44">
        <f t="shared" si="1"/>
        <v>69</v>
      </c>
      <c r="C15" s="36">
        <f t="shared" si="11"/>
        <v>54204.449564014853</v>
      </c>
      <c r="D15" s="27"/>
      <c r="E15" s="26">
        <f t="shared" si="5"/>
        <v>26879.244622993156</v>
      </c>
      <c r="F15" s="28"/>
      <c r="G15" s="26"/>
      <c r="H15" s="28"/>
      <c r="I15" s="26">
        <f t="shared" si="6"/>
        <v>83056.795731783583</v>
      </c>
      <c r="J15" s="28"/>
      <c r="K15" s="26">
        <f t="shared" si="7"/>
        <v>77348.281499029647</v>
      </c>
      <c r="L15" s="28"/>
      <c r="M15" s="26">
        <f t="shared" si="8"/>
        <v>76078.808715036692</v>
      </c>
      <c r="N15" s="28"/>
      <c r="O15" s="26">
        <f t="shared" si="9"/>
        <v>18626.833433084801</v>
      </c>
      <c r="P15" s="28"/>
      <c r="Q15" s="26">
        <f t="shared" si="0"/>
        <v>336194.41356594267</v>
      </c>
      <c r="R15" s="28"/>
      <c r="S15" s="26">
        <f t="shared" si="2"/>
        <v>22412.960904396179</v>
      </c>
      <c r="T15" s="28"/>
      <c r="U15" s="26">
        <f t="shared" si="10"/>
        <v>19567.478272345794</v>
      </c>
      <c r="V15" s="30">
        <f t="shared" si="3"/>
        <v>10562.13171240251</v>
      </c>
      <c r="W15" s="31">
        <f t="shared" si="4"/>
        <v>0.47125106573182868</v>
      </c>
    </row>
    <row r="16" spans="1:23" x14ac:dyDescent="0.25">
      <c r="A16" s="43">
        <f t="shared" si="1"/>
        <v>69</v>
      </c>
      <c r="B16" s="44">
        <f t="shared" si="1"/>
        <v>70</v>
      </c>
      <c r="C16" s="36">
        <f t="shared" si="11"/>
        <v>55288.538555295148</v>
      </c>
      <c r="D16" s="27"/>
      <c r="E16" s="26">
        <f t="shared" si="5"/>
        <v>27416.829515453021</v>
      </c>
      <c r="F16" s="28"/>
      <c r="G16" s="26"/>
      <c r="H16" s="28"/>
      <c r="I16" s="26">
        <f t="shared" si="6"/>
        <v>84717.931646419253</v>
      </c>
      <c r="J16" s="28"/>
      <c r="K16" s="26">
        <f t="shared" si="7"/>
        <v>77348.281499029647</v>
      </c>
      <c r="L16" s="28"/>
      <c r="M16" s="26">
        <f t="shared" si="8"/>
        <v>77600.384889337423</v>
      </c>
      <c r="N16" s="28"/>
      <c r="O16" s="26">
        <f t="shared" si="9"/>
        <v>18999.370101746499</v>
      </c>
      <c r="P16" s="28"/>
      <c r="Q16" s="26">
        <f t="shared" si="0"/>
        <v>341371.33620728098</v>
      </c>
      <c r="R16" s="28"/>
      <c r="S16" s="26">
        <f t="shared" si="2"/>
        <v>22758.089080485399</v>
      </c>
      <c r="T16" s="28"/>
      <c r="U16" s="26">
        <f t="shared" si="10"/>
        <v>20056.665229154438</v>
      </c>
      <c r="V16" s="30">
        <f t="shared" si="3"/>
        <v>10670.243304651856</v>
      </c>
      <c r="W16" s="31">
        <f t="shared" si="4"/>
        <v>0.46885497578095758</v>
      </c>
    </row>
    <row r="17" spans="1:23" x14ac:dyDescent="0.25">
      <c r="A17" s="43">
        <f t="shared" si="1"/>
        <v>70</v>
      </c>
      <c r="B17" s="44">
        <f t="shared" si="1"/>
        <v>71</v>
      </c>
      <c r="C17" s="36">
        <f t="shared" si="11"/>
        <v>56394.309326401053</v>
      </c>
      <c r="D17" s="27"/>
      <c r="E17" s="26">
        <f t="shared" si="5"/>
        <v>27965.16610576208</v>
      </c>
      <c r="F17" s="28"/>
      <c r="G17" s="26"/>
      <c r="H17" s="28"/>
      <c r="I17" s="26">
        <f t="shared" si="6"/>
        <v>86412.290279347639</v>
      </c>
      <c r="J17" s="28"/>
      <c r="K17" s="26">
        <f t="shared" si="7"/>
        <v>77348.281499029647</v>
      </c>
      <c r="L17" s="28"/>
      <c r="M17" s="26">
        <f t="shared" si="8"/>
        <v>79152.392587124166</v>
      </c>
      <c r="N17" s="28"/>
      <c r="O17" s="26">
        <f t="shared" si="9"/>
        <v>19379.35750378143</v>
      </c>
      <c r="P17" s="28"/>
      <c r="Q17" s="26">
        <f t="shared" si="0"/>
        <v>346651.79730144609</v>
      </c>
      <c r="R17" s="28"/>
      <c r="S17" s="26">
        <f t="shared" si="2"/>
        <v>23110.11982009641</v>
      </c>
      <c r="T17" s="28"/>
      <c r="U17" s="26">
        <f t="shared" si="10"/>
        <v>20558.081859883296</v>
      </c>
      <c r="V17" s="30">
        <f t="shared" si="3"/>
        <v>10780.517128746185</v>
      </c>
      <c r="W17" s="31">
        <f t="shared" si="4"/>
        <v>0.46648469210321952</v>
      </c>
    </row>
    <row r="18" spans="1:23" x14ac:dyDescent="0.25">
      <c r="A18" s="43">
        <f t="shared" si="1"/>
        <v>71</v>
      </c>
      <c r="B18" s="44">
        <f t="shared" si="1"/>
        <v>72</v>
      </c>
      <c r="C18" s="36">
        <f t="shared" si="11"/>
        <v>57522.195512929073</v>
      </c>
      <c r="D18" s="27"/>
      <c r="E18" s="26">
        <f t="shared" si="5"/>
        <v>28524.469427877324</v>
      </c>
      <c r="F18" s="28"/>
      <c r="G18" s="26"/>
      <c r="H18" s="28"/>
      <c r="I18" s="26">
        <f t="shared" si="6"/>
        <v>88140.536084934589</v>
      </c>
      <c r="J18" s="28"/>
      <c r="K18" s="26">
        <f t="shared" si="7"/>
        <v>77348.281499029647</v>
      </c>
      <c r="L18" s="28"/>
      <c r="M18" s="26">
        <f t="shared" si="8"/>
        <v>80735.440438866644</v>
      </c>
      <c r="N18" s="28"/>
      <c r="O18" s="26">
        <f t="shared" si="9"/>
        <v>19766.944653857059</v>
      </c>
      <c r="P18" s="28"/>
      <c r="Q18" s="26">
        <f t="shared" si="0"/>
        <v>352037.86761749431</v>
      </c>
      <c r="R18" s="28"/>
      <c r="S18" s="26">
        <f t="shared" si="2"/>
        <v>23469.191174499621</v>
      </c>
      <c r="T18" s="28"/>
      <c r="U18" s="26">
        <f t="shared" si="10"/>
        <v>21072.033906380377</v>
      </c>
      <c r="V18" s="30">
        <f t="shared" si="3"/>
        <v>10892.996429322404</v>
      </c>
      <c r="W18" s="31">
        <f t="shared" si="4"/>
        <v>0.46414025725599595</v>
      </c>
    </row>
    <row r="19" spans="1:23" x14ac:dyDescent="0.25">
      <c r="A19" s="43">
        <f t="shared" si="1"/>
        <v>72</v>
      </c>
      <c r="B19" s="44">
        <f t="shared" si="1"/>
        <v>73</v>
      </c>
      <c r="C19" s="36">
        <f t="shared" si="11"/>
        <v>58672.639423187655</v>
      </c>
      <c r="D19" s="27"/>
      <c r="E19" s="26">
        <f t="shared" si="5"/>
        <v>29094.958816434872</v>
      </c>
      <c r="F19" s="28"/>
      <c r="G19" s="26"/>
      <c r="H19" s="28"/>
      <c r="I19" s="26">
        <f t="shared" si="6"/>
        <v>89903.346806633286</v>
      </c>
      <c r="J19" s="28"/>
      <c r="K19" s="26">
        <f t="shared" si="7"/>
        <v>77348.281499029647</v>
      </c>
      <c r="L19" s="28"/>
      <c r="M19" s="26">
        <f t="shared" si="8"/>
        <v>82350.149247643974</v>
      </c>
      <c r="N19" s="28"/>
      <c r="O19" s="26">
        <f t="shared" si="9"/>
        <v>20162.283546934199</v>
      </c>
      <c r="P19" s="28"/>
      <c r="Q19" s="26">
        <f t="shared" si="0"/>
        <v>357531.65933986363</v>
      </c>
      <c r="R19" s="28"/>
      <c r="S19" s="26">
        <f t="shared" si="2"/>
        <v>23835.443955990908</v>
      </c>
      <c r="T19" s="28"/>
      <c r="U19" s="26">
        <f t="shared" si="10"/>
        <v>21598.834754039883</v>
      </c>
      <c r="V19" s="30">
        <f t="shared" si="3"/>
        <v>11007.725315910146</v>
      </c>
      <c r="W19" s="31">
        <f t="shared" si="4"/>
        <v>0.46182170284868618</v>
      </c>
    </row>
    <row r="20" spans="1:23" x14ac:dyDescent="0.25">
      <c r="A20" s="43">
        <f t="shared" si="1"/>
        <v>73</v>
      </c>
      <c r="B20" s="44">
        <f t="shared" si="1"/>
        <v>74</v>
      </c>
      <c r="C20" s="36">
        <f t="shared" si="11"/>
        <v>59846.092211651412</v>
      </c>
      <c r="D20" s="28"/>
      <c r="E20" s="26">
        <f t="shared" si="5"/>
        <v>29676.857992763569</v>
      </c>
      <c r="F20" s="28"/>
      <c r="G20" s="26"/>
      <c r="H20" s="28"/>
      <c r="I20" s="26">
        <f t="shared" si="6"/>
        <v>91701.413742765959</v>
      </c>
      <c r="J20" s="28"/>
      <c r="K20" s="26">
        <f t="shared" si="7"/>
        <v>77348.281499029647</v>
      </c>
      <c r="L20" s="28"/>
      <c r="M20" s="26">
        <f t="shared" si="8"/>
        <v>83997.152232596854</v>
      </c>
      <c r="N20" s="28"/>
      <c r="O20" s="26">
        <f t="shared" si="9"/>
        <v>20565.529217872885</v>
      </c>
      <c r="P20" s="28"/>
      <c r="Q20" s="26">
        <f t="shared" si="0"/>
        <v>363135.32689668029</v>
      </c>
      <c r="R20" s="28"/>
      <c r="S20" s="26">
        <f t="shared" si="2"/>
        <v>24209.021793112017</v>
      </c>
      <c r="T20" s="28"/>
      <c r="U20" s="26">
        <f t="shared" si="10"/>
        <v>22138.805622890879</v>
      </c>
      <c r="V20" s="30">
        <f t="shared" si="3"/>
        <v>11124.748780229642</v>
      </c>
      <c r="W20" s="31">
        <f t="shared" si="4"/>
        <v>0.45952904976089826</v>
      </c>
    </row>
    <row r="21" spans="1:23" x14ac:dyDescent="0.25">
      <c r="A21" s="43">
        <f t="shared" si="1"/>
        <v>74</v>
      </c>
      <c r="B21" s="44">
        <f t="shared" si="1"/>
        <v>75</v>
      </c>
      <c r="C21" s="36">
        <f t="shared" si="11"/>
        <v>61043.014055884443</v>
      </c>
      <c r="D21" s="28"/>
      <c r="E21" s="26">
        <f t="shared" si="5"/>
        <v>30270.395152618839</v>
      </c>
      <c r="F21" s="28"/>
      <c r="G21" s="26"/>
      <c r="H21" s="28"/>
      <c r="I21" s="26">
        <f t="shared" si="6"/>
        <v>93535.442017621273</v>
      </c>
      <c r="J21" s="28"/>
      <c r="K21" s="26">
        <f t="shared" si="7"/>
        <v>77348.281499029647</v>
      </c>
      <c r="L21" s="28"/>
      <c r="M21" s="26">
        <f t="shared" si="8"/>
        <v>85677.095277248794</v>
      </c>
      <c r="N21" s="28"/>
      <c r="O21" s="26">
        <f t="shared" si="9"/>
        <v>20976.839802230345</v>
      </c>
      <c r="P21" s="28"/>
      <c r="Q21" s="26">
        <f t="shared" si="0"/>
        <v>368851.06780463341</v>
      </c>
      <c r="R21" s="28"/>
      <c r="S21" s="26">
        <f t="shared" si="2"/>
        <v>24590.071186975561</v>
      </c>
      <c r="T21" s="28"/>
      <c r="U21" s="26">
        <f t="shared" si="10"/>
        <v>22692.275763463149</v>
      </c>
      <c r="V21" s="30">
        <f t="shared" si="3"/>
        <v>11244.11271383553</v>
      </c>
      <c r="W21" s="31">
        <f t="shared" si="4"/>
        <v>0.45726230836578929</v>
      </c>
    </row>
    <row r="22" spans="1:23" x14ac:dyDescent="0.25">
      <c r="A22" s="43">
        <f t="shared" si="1"/>
        <v>75</v>
      </c>
      <c r="B22" s="44">
        <f t="shared" si="1"/>
        <v>76</v>
      </c>
      <c r="C22" s="36">
        <f t="shared" si="11"/>
        <v>62263.874337002133</v>
      </c>
      <c r="D22" s="28"/>
      <c r="E22" s="26">
        <f t="shared" si="5"/>
        <v>30875.803055671218</v>
      </c>
      <c r="F22" s="28"/>
      <c r="G22" s="26"/>
      <c r="H22" s="28"/>
      <c r="I22" s="26">
        <f t="shared" si="6"/>
        <v>95406.150857973698</v>
      </c>
      <c r="J22" s="28"/>
      <c r="K22" s="26">
        <f t="shared" si="7"/>
        <v>77348.281499029647</v>
      </c>
      <c r="L22" s="28"/>
      <c r="M22" s="26">
        <f t="shared" si="8"/>
        <v>87390.637182793769</v>
      </c>
      <c r="N22" s="28"/>
      <c r="O22" s="26">
        <f t="shared" si="9"/>
        <v>21396.37659827495</v>
      </c>
      <c r="P22" s="28"/>
      <c r="Q22" s="26">
        <f t="shared" si="0"/>
        <v>374681.12353074545</v>
      </c>
      <c r="R22" s="28"/>
      <c r="S22" s="26">
        <f t="shared" si="2"/>
        <v>24978.741568716363</v>
      </c>
      <c r="T22" s="28"/>
      <c r="U22" s="26">
        <f t="shared" si="10"/>
        <v>23259.582657549727</v>
      </c>
      <c r="V22" s="30">
        <f t="shared" si="3"/>
        <v>11365.863926113532</v>
      </c>
      <c r="W22" s="31">
        <f t="shared" si="4"/>
        <v>0.45502147875809162</v>
      </c>
    </row>
    <row r="23" spans="1:23" x14ac:dyDescent="0.25">
      <c r="A23" s="43">
        <f t="shared" si="1"/>
        <v>76</v>
      </c>
      <c r="B23" s="44">
        <f t="shared" si="1"/>
        <v>77</v>
      </c>
      <c r="C23" s="36">
        <f t="shared" si="11"/>
        <v>63509.151823742177</v>
      </c>
      <c r="D23" s="28"/>
      <c r="E23" s="26">
        <f t="shared" si="5"/>
        <v>31493.319116784642</v>
      </c>
      <c r="F23" s="28"/>
      <c r="G23" s="26"/>
      <c r="H23" s="28"/>
      <c r="I23" s="26">
        <f t="shared" si="6"/>
        <v>97314.273875133178</v>
      </c>
      <c r="J23" s="28"/>
      <c r="K23" s="26">
        <f t="shared" si="7"/>
        <v>77348.281499029647</v>
      </c>
      <c r="L23" s="28"/>
      <c r="M23" s="26">
        <f t="shared" si="8"/>
        <v>89138.449926449641</v>
      </c>
      <c r="N23" s="28"/>
      <c r="O23" s="26">
        <f t="shared" si="9"/>
        <v>21824.304130240449</v>
      </c>
      <c r="P23" s="28"/>
      <c r="Q23" s="26">
        <f t="shared" si="0"/>
        <v>380627.78037137975</v>
      </c>
      <c r="R23" s="28"/>
      <c r="S23" s="26">
        <f t="shared" si="2"/>
        <v>25375.185358091985</v>
      </c>
      <c r="T23" s="28"/>
      <c r="U23" s="26">
        <f t="shared" si="10"/>
        <v>23841.072223988467</v>
      </c>
      <c r="V23" s="30">
        <f t="shared" si="3"/>
        <v>11490.050162637099</v>
      </c>
      <c r="W23" s="31">
        <f t="shared" si="4"/>
        <v>0.45280655098635547</v>
      </c>
    </row>
    <row r="24" spans="1:23" x14ac:dyDescent="0.25">
      <c r="A24" s="43">
        <f t="shared" si="1"/>
        <v>77</v>
      </c>
      <c r="B24" s="44">
        <f t="shared" si="1"/>
        <v>78</v>
      </c>
      <c r="C24" s="36">
        <f t="shared" si="11"/>
        <v>64779.334860217023</v>
      </c>
      <c r="D24" s="28"/>
      <c r="E24" s="26">
        <f t="shared" si="5"/>
        <v>32123.185499120336</v>
      </c>
      <c r="F24" s="28"/>
      <c r="G24" s="26"/>
      <c r="H24" s="28"/>
      <c r="I24" s="26">
        <f t="shared" si="6"/>
        <v>99260.559352635843</v>
      </c>
      <c r="J24" s="28"/>
      <c r="K24" s="26">
        <f t="shared" si="7"/>
        <v>77348.281499029647</v>
      </c>
      <c r="L24" s="28"/>
      <c r="M24" s="26">
        <f t="shared" si="8"/>
        <v>90921.218924978632</v>
      </c>
      <c r="N24" s="28"/>
      <c r="O24" s="26">
        <f t="shared" si="9"/>
        <v>22260.790212845259</v>
      </c>
      <c r="P24" s="28"/>
      <c r="Q24" s="26">
        <f t="shared" si="0"/>
        <v>386693.37034882675</v>
      </c>
      <c r="R24" s="28"/>
      <c r="S24" s="26">
        <f t="shared" si="2"/>
        <v>25779.558023255118</v>
      </c>
      <c r="T24" s="28"/>
      <c r="U24" s="26">
        <f t="shared" si="10"/>
        <v>24437.099029588178</v>
      </c>
      <c r="V24" s="30">
        <f t="shared" si="3"/>
        <v>11616.720123891133</v>
      </c>
      <c r="W24" s="31">
        <f t="shared" si="4"/>
        <v>0.45061750528895683</v>
      </c>
    </row>
    <row r="25" spans="1:23" x14ac:dyDescent="0.25">
      <c r="A25" s="43">
        <f t="shared" ref="A25:B31" si="12">A24+1</f>
        <v>78</v>
      </c>
      <c r="B25" s="44">
        <f t="shared" si="12"/>
        <v>79</v>
      </c>
      <c r="C25" s="36">
        <f t="shared" si="11"/>
        <v>66074.921557421359</v>
      </c>
      <c r="D25" s="28"/>
      <c r="E25" s="26">
        <f t="shared" si="5"/>
        <v>32765.649209102743</v>
      </c>
      <c r="F25" s="28"/>
      <c r="G25" s="26"/>
      <c r="H25" s="28"/>
      <c r="I25" s="26">
        <f t="shared" si="6"/>
        <v>101245.77053968856</v>
      </c>
      <c r="J25" s="28"/>
      <c r="K25" s="26">
        <f t="shared" si="7"/>
        <v>77348.281499029647</v>
      </c>
      <c r="L25" s="28"/>
      <c r="M25" s="26">
        <f t="shared" si="8"/>
        <v>92739.643303478209</v>
      </c>
      <c r="N25" s="28"/>
      <c r="O25" s="26">
        <f t="shared" si="9"/>
        <v>22706.006017102165</v>
      </c>
      <c r="P25" s="28"/>
      <c r="Q25" s="26">
        <f t="shared" si="0"/>
        <v>392880.27212582267</v>
      </c>
      <c r="R25" s="28"/>
      <c r="S25" s="26">
        <f t="shared" si="2"/>
        <v>26192.01814172151</v>
      </c>
      <c r="T25" s="28"/>
      <c r="U25" s="26">
        <f t="shared" si="10"/>
        <v>25048.026505327882</v>
      </c>
      <c r="V25" s="30">
        <f t="shared" si="3"/>
        <v>11745.923484370251</v>
      </c>
      <c r="W25" s="31">
        <f t="shared" si="4"/>
        <v>0.44845431233342264</v>
      </c>
    </row>
    <row r="26" spans="1:23" x14ac:dyDescent="0.25">
      <c r="A26" s="43">
        <f t="shared" si="12"/>
        <v>79</v>
      </c>
      <c r="B26" s="44">
        <f t="shared" si="12"/>
        <v>80</v>
      </c>
      <c r="C26" s="36">
        <f t="shared" si="11"/>
        <v>67396.419988569789</v>
      </c>
      <c r="D26" s="28"/>
      <c r="E26" s="26">
        <f t="shared" si="5"/>
        <v>33420.962193284795</v>
      </c>
      <c r="F26" s="28"/>
      <c r="G26" s="26"/>
      <c r="H26" s="28"/>
      <c r="I26" s="26">
        <f t="shared" si="6"/>
        <v>103270.68595048234</v>
      </c>
      <c r="J26" s="28"/>
      <c r="K26" s="26">
        <f t="shared" si="7"/>
        <v>77348.281499029647</v>
      </c>
      <c r="L26" s="28"/>
      <c r="M26" s="26">
        <f t="shared" si="8"/>
        <v>94594.436169547771</v>
      </c>
      <c r="N26" s="28"/>
      <c r="O26" s="26">
        <f t="shared" si="9"/>
        <v>23160.126137444207</v>
      </c>
      <c r="P26" s="28"/>
      <c r="Q26" s="26">
        <f t="shared" si="0"/>
        <v>399190.91193835856</v>
      </c>
      <c r="R26" s="28"/>
      <c r="S26" s="26">
        <f t="shared" si="2"/>
        <v>26612.727462557243</v>
      </c>
      <c r="T26" s="28"/>
      <c r="U26" s="26">
        <f t="shared" si="10"/>
        <v>25674.227167961075</v>
      </c>
      <c r="V26" s="30">
        <f t="shared" si="3"/>
        <v>11877.71091205895</v>
      </c>
      <c r="W26" s="31">
        <f t="shared" si="4"/>
        <v>0.44631693345863505</v>
      </c>
    </row>
    <row r="27" spans="1:23" x14ac:dyDescent="0.25">
      <c r="A27" s="43">
        <f t="shared" si="12"/>
        <v>80</v>
      </c>
      <c r="B27" s="44">
        <f t="shared" si="12"/>
        <v>81</v>
      </c>
      <c r="C27" s="36">
        <f t="shared" si="11"/>
        <v>68744.348388341183</v>
      </c>
      <c r="D27" s="28"/>
      <c r="E27" s="26">
        <f t="shared" si="5"/>
        <v>34089.381437150492</v>
      </c>
      <c r="F27" s="28"/>
      <c r="G27" s="26"/>
      <c r="H27" s="28"/>
      <c r="I27" s="26">
        <f t="shared" si="6"/>
        <v>105336.09966949199</v>
      </c>
      <c r="J27" s="28"/>
      <c r="K27" s="26">
        <f t="shared" si="7"/>
        <v>77348.281499029647</v>
      </c>
      <c r="L27" s="28"/>
      <c r="M27" s="26">
        <f t="shared" si="8"/>
        <v>96486.324892938734</v>
      </c>
      <c r="N27" s="28"/>
      <c r="O27" s="26">
        <f t="shared" si="9"/>
        <v>23623.328660193092</v>
      </c>
      <c r="P27" s="28"/>
      <c r="Q27" s="26">
        <f t="shared" si="0"/>
        <v>405627.76454714511</v>
      </c>
      <c r="R27" s="28"/>
      <c r="S27" s="26">
        <f t="shared" si="2"/>
        <v>27041.850969809675</v>
      </c>
      <c r="T27" s="28"/>
      <c r="U27" s="26">
        <f t="shared" si="10"/>
        <v>26316.082847160098</v>
      </c>
      <c r="V27" s="30">
        <f t="shared" si="3"/>
        <v>12012.134088301422</v>
      </c>
      <c r="W27" s="31">
        <f t="shared" si="4"/>
        <v>0.44420532091949344</v>
      </c>
    </row>
    <row r="28" spans="1:23" x14ac:dyDescent="0.25">
      <c r="A28" s="43">
        <f t="shared" si="12"/>
        <v>81</v>
      </c>
      <c r="B28" s="44">
        <f t="shared" si="12"/>
        <v>82</v>
      </c>
      <c r="C28" s="36">
        <f t="shared" si="11"/>
        <v>70119.235356108009</v>
      </c>
      <c r="D28" s="28"/>
      <c r="E28" s="26">
        <f t="shared" si="5"/>
        <v>34771.169065893504</v>
      </c>
      <c r="F28" s="28"/>
      <c r="G28" s="26"/>
      <c r="H28" s="28"/>
      <c r="I28" s="26">
        <f t="shared" si="6"/>
        <v>107442.82166288183</v>
      </c>
      <c r="J28" s="28"/>
      <c r="K28" s="26">
        <f t="shared" si="7"/>
        <v>77348.281499029647</v>
      </c>
      <c r="L28" s="28"/>
      <c r="M28" s="26">
        <f t="shared" si="8"/>
        <v>98416.051390797511</v>
      </c>
      <c r="N28" s="28"/>
      <c r="O28" s="26">
        <f t="shared" si="9"/>
        <v>24095.795233396955</v>
      </c>
      <c r="P28" s="28"/>
      <c r="Q28" s="26">
        <f t="shared" si="0"/>
        <v>412193.35420810746</v>
      </c>
      <c r="R28" s="28"/>
      <c r="S28" s="26">
        <f t="shared" si="2"/>
        <v>27479.556947207166</v>
      </c>
      <c r="T28" s="28"/>
      <c r="U28" s="26">
        <f t="shared" si="10"/>
        <v>26973.984918339098</v>
      </c>
      <c r="V28" s="30">
        <f t="shared" si="3"/>
        <v>12149.245728068745</v>
      </c>
      <c r="W28" s="31">
        <f t="shared" si="4"/>
        <v>0.44211941813361411</v>
      </c>
    </row>
    <row r="29" spans="1:23" x14ac:dyDescent="0.25">
      <c r="A29" s="43">
        <f t="shared" si="12"/>
        <v>82</v>
      </c>
      <c r="B29" s="44">
        <f t="shared" si="12"/>
        <v>83</v>
      </c>
      <c r="C29" s="36">
        <f t="shared" si="11"/>
        <v>71521.620063230177</v>
      </c>
      <c r="D29" s="28"/>
      <c r="E29" s="26">
        <f t="shared" si="5"/>
        <v>35466.592447211377</v>
      </c>
      <c r="F29" s="28"/>
      <c r="G29" s="26"/>
      <c r="H29" s="28"/>
      <c r="I29" s="26">
        <f t="shared" si="6"/>
        <v>109591.67809613947</v>
      </c>
      <c r="J29" s="28"/>
      <c r="K29" s="26">
        <f t="shared" si="7"/>
        <v>77348.281499029647</v>
      </c>
      <c r="L29" s="28"/>
      <c r="M29" s="26">
        <f t="shared" si="8"/>
        <v>100384.37241861346</v>
      </c>
      <c r="N29" s="28"/>
      <c r="O29" s="26">
        <f t="shared" si="9"/>
        <v>24577.711138064893</v>
      </c>
      <c r="P29" s="28"/>
      <c r="Q29" s="26">
        <f t="shared" si="0"/>
        <v>418890.25566228904</v>
      </c>
      <c r="R29" s="28"/>
      <c r="S29" s="26">
        <f t="shared" si="2"/>
        <v>27926.017044152602</v>
      </c>
      <c r="T29" s="28"/>
      <c r="U29" s="26">
        <f t="shared" si="10"/>
        <v>27648.334541297572</v>
      </c>
      <c r="V29" s="30">
        <f t="shared" si="3"/>
        <v>12289.099600631414</v>
      </c>
      <c r="W29" s="31">
        <f t="shared" si="4"/>
        <v>0.4400591599296691</v>
      </c>
    </row>
    <row r="30" spans="1:23" x14ac:dyDescent="0.25">
      <c r="A30" s="43">
        <f t="shared" si="12"/>
        <v>83</v>
      </c>
      <c r="B30" s="44">
        <f t="shared" si="12"/>
        <v>84</v>
      </c>
      <c r="C30" s="36">
        <f t="shared" si="11"/>
        <v>72952.052464494787</v>
      </c>
      <c r="D30" s="28"/>
      <c r="E30" s="26">
        <f t="shared" si="5"/>
        <v>36175.924296155608</v>
      </c>
      <c r="F30" s="28"/>
      <c r="G30" s="26"/>
      <c r="H30" s="28"/>
      <c r="I30" s="26">
        <f t="shared" si="6"/>
        <v>111783.51165806226</v>
      </c>
      <c r="J30" s="28"/>
      <c r="K30" s="26">
        <f t="shared" si="7"/>
        <v>77348.281499029647</v>
      </c>
      <c r="L30" s="28"/>
      <c r="M30" s="26">
        <f t="shared" si="8"/>
        <v>102392.05986698573</v>
      </c>
      <c r="N30" s="28"/>
      <c r="O30" s="26">
        <f t="shared" si="9"/>
        <v>25069.26536082619</v>
      </c>
      <c r="P30" s="28"/>
      <c r="Q30" s="26">
        <f t="shared" si="0"/>
        <v>425721.09514555417</v>
      </c>
      <c r="R30" s="28"/>
      <c r="S30" s="26">
        <f t="shared" si="2"/>
        <v>28381.406343036946</v>
      </c>
      <c r="T30" s="28"/>
      <c r="U30" s="26">
        <f t="shared" si="10"/>
        <v>28339.54290483001</v>
      </c>
      <c r="V30" s="30">
        <f t="shared" si="3"/>
        <v>12431.750550645338</v>
      </c>
      <c r="W30" s="31">
        <f t="shared" si="4"/>
        <v>0.43802447279696999</v>
      </c>
    </row>
    <row r="31" spans="1:23" ht="15.75" thickBot="1" x14ac:dyDescent="0.3">
      <c r="A31" s="45">
        <f t="shared" si="12"/>
        <v>84</v>
      </c>
      <c r="B31" s="46">
        <f t="shared" si="12"/>
        <v>85</v>
      </c>
      <c r="C31" s="36">
        <f t="shared" si="11"/>
        <v>74411.093513784683</v>
      </c>
      <c r="D31" s="28"/>
      <c r="E31" s="26">
        <f t="shared" si="5"/>
        <v>36899.442782078724</v>
      </c>
      <c r="F31" s="28"/>
      <c r="G31" s="26"/>
      <c r="H31" s="28"/>
      <c r="I31" s="26">
        <f t="shared" si="6"/>
        <v>114019.1818912235</v>
      </c>
      <c r="J31" s="28"/>
      <c r="K31" s="26">
        <f t="shared" si="7"/>
        <v>77348.281499029647</v>
      </c>
      <c r="L31" s="28"/>
      <c r="M31" s="26">
        <f t="shared" si="8"/>
        <v>104439.90106432544</v>
      </c>
      <c r="N31" s="28"/>
      <c r="O31" s="26">
        <f t="shared" si="9"/>
        <v>25570.650668042716</v>
      </c>
      <c r="P31" s="28"/>
      <c r="Q31" s="26">
        <f t="shared" si="0"/>
        <v>432688.55141848477</v>
      </c>
      <c r="R31" s="28"/>
      <c r="S31" s="26">
        <f t="shared" si="2"/>
        <v>28845.903427898986</v>
      </c>
      <c r="T31" s="28"/>
      <c r="U31" s="26">
        <f t="shared" si="10"/>
        <v>29048.031477450757</v>
      </c>
      <c r="V31" s="30">
        <f t="shared" si="3"/>
        <v>12577.254519659538</v>
      </c>
      <c r="W31" s="31">
        <f t="shared" si="4"/>
        <v>0.43601527513591948</v>
      </c>
    </row>
  </sheetData>
  <mergeCells count="3">
    <mergeCell ref="C1:U1"/>
    <mergeCell ref="A2:B2"/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Wille</dc:creator>
  <cp:lastModifiedBy>Tyler Wille</cp:lastModifiedBy>
  <dcterms:created xsi:type="dcterms:W3CDTF">2025-09-05T18:51:57Z</dcterms:created>
  <dcterms:modified xsi:type="dcterms:W3CDTF">2025-09-05T20:08:49Z</dcterms:modified>
</cp:coreProperties>
</file>